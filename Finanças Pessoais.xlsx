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PowerBi\"/>
    </mc:Choice>
  </mc:AlternateContent>
  <xr:revisionPtr revIDLastSave="0" documentId="13_ncr:1_{1029FB68-0A1E-4643-BB44-AA48CD1245FF}" xr6:coauthVersionLast="47" xr6:coauthVersionMax="47" xr10:uidLastSave="{00000000-0000-0000-0000-000000000000}"/>
  <bookViews>
    <workbookView xWindow="-120" yWindow="-120" windowWidth="20730" windowHeight="11160" activeTab="2" xr2:uid="{A3698951-3299-4BF4-9020-6350DCA5A08E}"/>
  </bookViews>
  <sheets>
    <sheet name="Meu Faturamento" sheetId="5" r:id="rId1"/>
    <sheet name="Minhas Instituições" sheetId="3" r:id="rId2"/>
    <sheet name="Minha Carteira" sheetId="1" r:id="rId3"/>
    <sheet name="Câmbio" sheetId="8" r:id="rId4"/>
    <sheet name="Meus Gastos Fixo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8" l="1"/>
  <c r="D5" i="8"/>
  <c r="D6" i="8"/>
  <c r="D7" i="8"/>
  <c r="D8" i="8"/>
  <c r="D9" i="8" l="1"/>
  <c r="D10" i="8"/>
  <c r="H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tc={5F4D18A9-1D09-4976-9397-19F48DBB4F20}</author>
  </authors>
  <commentList>
    <comment ref="H22" authorId="0" shapeId="0" xr:uid="{5F4D18A9-1D09-4976-9397-19F48DBB4F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Deve somar 100%</t>
      </text>
    </comment>
  </commentList>
</comments>
</file>

<file path=xl/sharedStrings.xml><?xml version="1.0" encoding="utf-8"?>
<sst xmlns="http://schemas.openxmlformats.org/spreadsheetml/2006/main" count="136" uniqueCount="90">
  <si>
    <t>Meu Faturamento</t>
  </si>
  <si>
    <t>Data</t>
  </si>
  <si>
    <t>Receita Líq.</t>
  </si>
  <si>
    <t>Fonte</t>
  </si>
  <si>
    <t>Minhas Instituições Financeiras / Cartões</t>
  </si>
  <si>
    <t>Instituição</t>
  </si>
  <si>
    <t>Categoria</t>
  </si>
  <si>
    <t>Saldo (BLR)</t>
  </si>
  <si>
    <t>Saldo (USD)</t>
  </si>
  <si>
    <t>Cartão</t>
  </si>
  <si>
    <t>Limite de Crédito</t>
  </si>
  <si>
    <t>Limite Disponível</t>
  </si>
  <si>
    <t>Fatura este Mês</t>
  </si>
  <si>
    <t>CARTEIRA</t>
  </si>
  <si>
    <t>Ativo</t>
  </si>
  <si>
    <t>Nome</t>
  </si>
  <si>
    <t>Setor</t>
  </si>
  <si>
    <t>Tipo de Investimento</t>
  </si>
  <si>
    <t>Ações Custódia</t>
  </si>
  <si>
    <t>Preço Médio</t>
  </si>
  <si>
    <t>Percentual Meta</t>
  </si>
  <si>
    <t>Câmbio Médio</t>
  </si>
  <si>
    <t>Moeda</t>
  </si>
  <si>
    <t>Custodiante</t>
  </si>
  <si>
    <t>BRL</t>
  </si>
  <si>
    <t>Total</t>
  </si>
  <si>
    <t>Enviado</t>
  </si>
  <si>
    <t>Convertido</t>
  </si>
  <si>
    <t>Cotação Média</t>
  </si>
  <si>
    <t>Minhas Despesas Fixas</t>
  </si>
  <si>
    <t>Serviço</t>
  </si>
  <si>
    <t>Mensal</t>
  </si>
  <si>
    <t>Anual</t>
  </si>
  <si>
    <t>Carro (Aluguel)</t>
  </si>
  <si>
    <t>Carro</t>
  </si>
  <si>
    <t>IPVA</t>
  </si>
  <si>
    <t>Combustível</t>
  </si>
  <si>
    <t>Celular</t>
  </si>
  <si>
    <t>Conta Básica</t>
  </si>
  <si>
    <t>Condomínio</t>
  </si>
  <si>
    <t>Internet</t>
  </si>
  <si>
    <t>IPTU</t>
  </si>
  <si>
    <t>Luz</t>
  </si>
  <si>
    <t>Spotify</t>
  </si>
  <si>
    <t>Entreterimento</t>
  </si>
  <si>
    <t>Sky</t>
  </si>
  <si>
    <t>MBA</t>
  </si>
  <si>
    <t>Educação</t>
  </si>
  <si>
    <t>VALE3</t>
  </si>
  <si>
    <t>TAEE4</t>
  </si>
  <si>
    <t>GOGL34</t>
  </si>
  <si>
    <t>PETR4</t>
  </si>
  <si>
    <t>AAPL34</t>
  </si>
  <si>
    <t>ITUB4</t>
  </si>
  <si>
    <t>ITUB3</t>
  </si>
  <si>
    <t>ITSA3</t>
  </si>
  <si>
    <t>MGLU3</t>
  </si>
  <si>
    <t>WEGE3</t>
  </si>
  <si>
    <t>ABEV3</t>
  </si>
  <si>
    <t>IVVB11</t>
  </si>
  <si>
    <t>XPBR31</t>
  </si>
  <si>
    <t>IRBR3</t>
  </si>
  <si>
    <t>AMER3</t>
  </si>
  <si>
    <t>SAPR4</t>
  </si>
  <si>
    <t>BKBR3</t>
  </si>
  <si>
    <t>APPLE</t>
  </si>
  <si>
    <t>BURGER KING</t>
  </si>
  <si>
    <t>IRB BRASIL RE</t>
  </si>
  <si>
    <t>AMBEV S/A</t>
  </si>
  <si>
    <t>ITAU UNIBANCO</t>
  </si>
  <si>
    <t>MAGAZINE LUIZA</t>
  </si>
  <si>
    <t>PETROBRAS</t>
  </si>
  <si>
    <t>VALE</t>
  </si>
  <si>
    <t>WEG</t>
  </si>
  <si>
    <t>AMERICANAS</t>
  </si>
  <si>
    <t>GOOGLE</t>
  </si>
  <si>
    <t>IBOVESPA</t>
  </si>
  <si>
    <t>SANEPAR</t>
  </si>
  <si>
    <t>TAESA</t>
  </si>
  <si>
    <t>XP INVESTIMENTOS</t>
  </si>
  <si>
    <t>FINANÇAS</t>
  </si>
  <si>
    <t>ENERGIA ELETRICA</t>
  </si>
  <si>
    <t>SANEAMENTO</t>
  </si>
  <si>
    <t>MINERIO</t>
  </si>
  <si>
    <t>TECNOLOGIA</t>
  </si>
  <si>
    <t>PETROLEO E GAS</t>
  </si>
  <si>
    <t>BENS INDUSTRIAIS</t>
  </si>
  <si>
    <t>COMERCIO</t>
  </si>
  <si>
    <t>SEGUROS</t>
  </si>
  <si>
    <t>VAREJO 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</si>
</sst>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_-[$R$-416]\ * #,##0.00_-;\-[$R$-416]\ * #,##0.00_-;_-[$R$-416]\ * &quot;-&quot;??_-;_-@_-"/>
    <numFmt numFmtId="166" formatCode="_-[$$-409]* #,##0.00_ ;_-[$$-409]* \-#,##0.00\ ;_-[$$-409]* &quot;-&quot;??_ ;_-@_ "/>
    <numFmt numFmtId="167" formatCode="0.000"/>
  </numFmts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2" xfId="0" applyBorder="1"/>
    <xf numFmtId="165" fontId="0" fillId="0" borderId="2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165" fontId="0" fillId="0" borderId="9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0" fontId="0" fillId="3" borderId="2" xfId="0" applyFill="1" applyBorder="1"/>
    <xf numFmtId="165" fontId="0" fillId="0" borderId="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54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-0.499984740745262"/>
        </patternFill>
      </fill>
    </dxf>
    <dxf>
      <numFmt numFmtId="166" formatCode="_-[$$-409]* #,##0.00_ ;_-[$$-409]* \-#,##0.00\ ;_-[$$-409]* &quot;-&quot;??_ ;_-@_ 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018FC4F-E347-43BD-913D-33093CA71E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1053830</xdr:colOff>
      <xdr:row>1</xdr:row>
      <xdr:rowOff>24319</xdr:rowOff>
    </xdr:from>
    <xdr:to>
      <xdr:col>3</xdr:col>
      <xdr:colOff>1382138</xdr:colOff>
      <xdr:row>1</xdr:row>
      <xdr:rowOff>352627</xdr:rowOff>
    </xdr:to>
    <xdr:pic>
      <xdr:nvPicPr>
        <xdr:cNvPr id="3" name="Gráfico 2" descr="Dólar">
          <a:extLst>
            <a:ext uri="{FF2B5EF4-FFF2-40B4-BE49-F238E27FC236}">
              <a16:creationId xmlns:a16="http://schemas.microsoft.com/office/drawing/2014/main" id="{77644E7F-88A4-4202-B82E-2A6DD0EC2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6904" y="214819"/>
          <a:ext cx="328308" cy="328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328311</xdr:colOff>
      <xdr:row>0</xdr:row>
      <xdr:rowOff>158075</xdr:rowOff>
    </xdr:from>
    <xdr:to>
      <xdr:col>10</xdr:col>
      <xdr:colOff>723618</xdr:colOff>
      <xdr:row>2</xdr:row>
      <xdr:rowOff>243</xdr:rowOff>
    </xdr:to>
    <xdr:pic>
      <xdr:nvPicPr>
        <xdr:cNvPr id="3" name="Gráfico 2" descr="Banco">
          <a:extLst>
            <a:ext uri="{FF2B5EF4-FFF2-40B4-BE49-F238E27FC236}">
              <a16:creationId xmlns:a16="http://schemas.microsoft.com/office/drawing/2014/main" id="{52592650-9384-42C4-93E8-B7B3123E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2" y="158075"/>
          <a:ext cx="395307" cy="393402"/>
        </a:xfrm>
        <a:prstGeom prst="rect">
          <a:avLst/>
        </a:prstGeom>
      </xdr:spPr>
    </xdr:pic>
    <xdr:clientData/>
  </xdr:twoCellAnchor>
  <xdr:twoCellAnchor editAs="oneCell">
    <xdr:from>
      <xdr:col>10</xdr:col>
      <xdr:colOff>753893</xdr:colOff>
      <xdr:row>1</xdr:row>
      <xdr:rowOff>28371</xdr:rowOff>
    </xdr:from>
    <xdr:to>
      <xdr:col>10</xdr:col>
      <xdr:colOff>1110930</xdr:colOff>
      <xdr:row>2</xdr:row>
      <xdr:rowOff>24674</xdr:rowOff>
    </xdr:to>
    <xdr:pic>
      <xdr:nvPicPr>
        <xdr:cNvPr id="4" name="Gráfico 3" descr="Cartão de crédito">
          <a:extLst>
            <a:ext uri="{FF2B5EF4-FFF2-40B4-BE49-F238E27FC236}">
              <a16:creationId xmlns:a16="http://schemas.microsoft.com/office/drawing/2014/main" id="{13F41871-0A13-4B80-A591-648380E7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36084" y="218871"/>
          <a:ext cx="357037" cy="357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216776</xdr:colOff>
      <xdr:row>1</xdr:row>
      <xdr:rowOff>26274</xdr:rowOff>
    </xdr:from>
    <xdr:to>
      <xdr:col>10</xdr:col>
      <xdr:colOff>604918</xdr:colOff>
      <xdr:row>2</xdr:row>
      <xdr:rowOff>4664</xdr:rowOff>
    </xdr:to>
    <xdr:pic>
      <xdr:nvPicPr>
        <xdr:cNvPr id="3" name="Gráfico 2" descr="Touro">
          <a:extLst>
            <a:ext uri="{FF2B5EF4-FFF2-40B4-BE49-F238E27FC236}">
              <a16:creationId xmlns:a16="http://schemas.microsoft.com/office/drawing/2014/main" id="{1C28A51C-3027-4478-8B44-4A2CF61C2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9492155" y="105102"/>
          <a:ext cx="386237" cy="3875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515216</xdr:colOff>
      <xdr:row>1</xdr:row>
      <xdr:rowOff>0</xdr:rowOff>
    </xdr:from>
    <xdr:to>
      <xdr:col>5</xdr:col>
      <xdr:colOff>878898</xdr:colOff>
      <xdr:row>2</xdr:row>
      <xdr:rowOff>0</xdr:rowOff>
    </xdr:to>
    <xdr:pic>
      <xdr:nvPicPr>
        <xdr:cNvPr id="5" name="Gráfico 4" descr="Moedas">
          <a:extLst>
            <a:ext uri="{FF2B5EF4-FFF2-40B4-BE49-F238E27FC236}">
              <a16:creationId xmlns:a16="http://schemas.microsoft.com/office/drawing/2014/main" id="{D82D9A31-58B5-4173-82E4-7D8DB46B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10546" y="190500"/>
          <a:ext cx="363682" cy="3636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eno Valinhas" id="{91BE29F0-EB0A-4663-858C-44577A28F1BA}" userId="Breno Valinhas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6B5ABD-21C0-42CE-AB9B-34AD3FAA0505}" name="Faturamento" displayName="Faturamento" ref="B4:D26" totalsRowShown="0" headerRowDxfId="53" dataDxfId="52">
  <autoFilter ref="B4:D26" xr:uid="{621835BD-5BC7-4EF2-8984-7E20D1FEB85B}"/>
  <tableColumns count="3">
    <tableColumn id="1" xr3:uid="{FB5A9C28-185E-4FF5-B00D-AE926770D6B9}" name="Data" dataDxfId="51"/>
    <tableColumn id="3" xr3:uid="{C5089369-FB48-42B8-A7CD-ED461D00D89C}" name="Receita Líq." dataDxfId="50"/>
    <tableColumn id="2" xr3:uid="{088600D5-2847-4FE2-B1FA-C5206A72E9A8}" name="Fonte" dataDxfId="49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FBD69A-F297-4B65-8D7E-33DF87B367F7}" name="Instituições" displayName="Instituições" ref="B4:E10" totalsRowShown="0" headerRowDxfId="48" headerRowBorderDxfId="47" tableBorderDxfId="46" totalsRowBorderDxfId="45">
  <autoFilter ref="B4:E10" xr:uid="{823ACE6F-92DF-47F4-991D-B45FA1D9BEAA}"/>
  <tableColumns count="4">
    <tableColumn id="1" xr3:uid="{C78BC536-836B-464C-B07B-E5AAF6971132}" name="Instituição" dataDxfId="44"/>
    <tableColumn id="4" xr3:uid="{46D46694-2382-44CF-99F5-F715EEBCC031}" name="Categoria" dataDxfId="43"/>
    <tableColumn id="3" xr3:uid="{3612B04F-5A28-441A-97A4-9A1EB286E57B}" name="Saldo (BLR)" dataDxfId="42"/>
    <tableColumn id="6" xr3:uid="{2BF044A6-FC0B-4CD0-AB38-E2253944588B}" name="Saldo (USD)" dataDxfId="4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88FC0-B134-4593-BAF1-825599444B12}" name="Cartões" displayName="Cartões" ref="G4:K6" totalsRowShown="0" headerRowDxfId="40">
  <autoFilter ref="G4:K6" xr:uid="{823ACE6F-92DF-47F4-991D-B45FA1D9BEAA}"/>
  <tableColumns count="5">
    <tableColumn id="1" xr3:uid="{16D6D6BE-94AF-4714-B7E1-AA8BEB162734}" name="Instituição" dataDxfId="39"/>
    <tableColumn id="6" xr3:uid="{79F934FF-F77A-402F-A719-7DDF834F5CF7}" name="Cartão" dataDxfId="38"/>
    <tableColumn id="3" xr3:uid="{215B5DDB-4812-4CAD-8315-99575C1A44DD}" name="Limite de Crédito" dataDxfId="37"/>
    <tableColumn id="4" xr3:uid="{70061E28-DAAB-4737-9522-099174F2348D}" name="Limite Disponível" dataDxfId="36"/>
    <tableColumn id="5" xr3:uid="{E7E3683F-5DAD-4709-9BD7-9756D4B5589F}" name="Fatura este Mês" dataDxfId="35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11A7F8-A7E0-4735-B9AC-7AF6CB62DF59}" name="Carteira" displayName="Carteira" ref="B4:K22" totalsRowCount="1" headerRowDxfId="2" dataDxfId="0" totalsRowDxfId="1">
  <autoFilter ref="B4:K21" xr:uid="{D511A7F8-A7E0-4735-B9AC-7AF6CB62DF59}"/>
  <tableColumns count="10">
    <tableColumn id="1" xr3:uid="{1D678E58-17A4-4067-8AA0-3D90B59A300C}" name="Ativo" totalsRowLabel="Total" dataDxfId="22" totalsRowDxfId="21"/>
    <tableColumn id="2" xr3:uid="{49F3C605-618F-4A29-BBA0-31BAD4EAB1C8}" name="Nome" dataDxfId="20" totalsRowDxfId="19"/>
    <tableColumn id="3" xr3:uid="{17ED03B6-A7A1-4DA0-816C-081B8A6F80E5}" name="Setor" dataDxfId="18" totalsRowDxfId="17"/>
    <tableColumn id="4" xr3:uid="{AA04E8BA-27F1-42CB-9DC4-6C3A2394B6B5}" name="Tipo de Investimento" dataDxfId="16" totalsRowDxfId="15"/>
    <tableColumn id="5" xr3:uid="{9B87829D-2690-4AB6-9203-4C7B1CA09194}" name="Ações Custódia" dataDxfId="14" totalsRowDxfId="13"/>
    <tableColumn id="6" xr3:uid="{18B62DB5-D938-4E39-8B68-A01F9EB0C638}" name="Preço Médio" dataDxfId="12" totalsRowDxfId="11"/>
    <tableColumn id="7" xr3:uid="{53F1765F-5C8F-4B24-83E3-D4EFC4F5D6A9}" name="Percentual Meta" totalsRowFunction="sum" dataDxfId="10" totalsRowDxfId="9" dataCellStyle="Porcentagem"/>
    <tableColumn id="9" xr3:uid="{4F76CD5F-EE14-431B-9C29-6B7CE064E7EC}" name="Câmbio Médio" dataDxfId="8" totalsRowDxfId="7"/>
    <tableColumn id="10" xr3:uid="{89E93F3C-9469-467E-B9AC-7CCC93599838}" name="Moeda" dataDxfId="6" totalsRowDxfId="5"/>
    <tableColumn id="8" xr3:uid="{8602C847-14A7-4070-8770-2F5DCAD52E72}" name="Custodiante" dataDxfId="4" totalsRowDxfId="3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68048-FD8C-405A-9368-0AEA5C02679C}" name="Instituições3" displayName="Instituições3" ref="B4:D10" totalsRowShown="0" headerRowDxfId="34" dataDxfId="32" headerRowBorderDxfId="33" tableBorderDxfId="31" totalsRowBorderDxfId="30">
  <autoFilter ref="B4:D10" xr:uid="{823ACE6F-92DF-47F4-991D-B45FA1D9BEAA}"/>
  <tableColumns count="3">
    <tableColumn id="1" xr3:uid="{3A1C8D9E-E156-46AC-972A-192551CB8C85}" name="Enviado" dataDxfId="29"/>
    <tableColumn id="3" xr3:uid="{45D0B66C-5BA3-4B44-91B1-91BE142340C3}" name="Convertido" dataDxfId="28"/>
    <tableColumn id="2" xr3:uid="{D171308A-121E-4D48-A841-6303EC3EF41E}" name="Cotação Média" dataDxfId="27">
      <calculatedColumnFormula>IFERROR(Instituições3[[#This Row],[Enviado]]/Instituições3[[#This Row],[Convertido]],"")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100C7D-5A8D-4593-AC40-048E414D51FB}" name="Despesas" displayName="Despesas" ref="B4:F15" totalsRowShown="0" headerRowDxfId="26">
  <autoFilter ref="B4:F15" xr:uid="{F152E49F-7885-4916-9EF8-EEBB5082F1A1}"/>
  <sortState xmlns:xlrd2="http://schemas.microsoft.com/office/spreadsheetml/2017/richdata2" ref="B5:F15">
    <sortCondition ref="C4:C15"/>
  </sortState>
  <tableColumns count="5">
    <tableColumn id="1" xr3:uid="{EC3A6244-602B-440C-853F-BE25BAD11A70}" name="Serviço"/>
    <tableColumn id="2" xr3:uid="{92911538-1FE2-41C0-87D8-60EDC7C02EDC}" name="Categoria"/>
    <tableColumn id="3" xr3:uid="{08038392-DD7B-453D-9923-73A2793DF22B}" name="Mensal" dataDxfId="25"/>
    <tableColumn id="4" xr3:uid="{BEFED0E6-5FE2-4BE0-A9B2-39A8A83F6C79}" name="Anual" dataDxfId="24"/>
    <tableColumn id="5" xr3:uid="{D86F469E-F01C-4C7A-A968-5A40ADBAAE57}" name="Moeda" dataDxfId="23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2" dT="2020-11-26T17:21:14.80" personId="{91BE29F0-EB0A-4663-858C-44577A28F1BA}" id="{5F4D18A9-1D09-4976-9397-19F48DBB4F20}">
    <text>Deve somar 100%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528C-53D9-44B5-BA3C-C5EFC38A1B62}">
  <sheetPr codeName="Planilha5"/>
  <dimension ref="A1:E26"/>
  <sheetViews>
    <sheetView showGridLines="0" zoomScale="90" zoomScaleNormal="90" workbookViewId="0">
      <pane ySplit="4" topLeftCell="A7" activePane="bottomLeft" state="frozen"/>
      <selection pane="bottomLeft" activeCell="D2" sqref="D2"/>
    </sheetView>
  </sheetViews>
  <sheetFormatPr defaultColWidth="0" defaultRowHeight="15" x14ac:dyDescent="0.25"/>
  <cols>
    <col min="1" max="1" width="3" customWidth="1"/>
    <col min="2" max="3" width="14" customWidth="1"/>
    <col min="4" max="4" width="21" customWidth="1"/>
    <col min="5" max="5" width="3.7109375" customWidth="1"/>
    <col min="6" max="16384" width="9.140625" hidden="1"/>
  </cols>
  <sheetData>
    <row r="1" spans="2:4" ht="12.75" customHeight="1" x14ac:dyDescent="0.25"/>
    <row r="2" spans="2:4" ht="28.5" x14ac:dyDescent="0.25">
      <c r="B2" s="3" t="s">
        <v>0</v>
      </c>
      <c r="C2" s="2"/>
      <c r="D2" s="1"/>
    </row>
    <row r="4" spans="2:4" x14ac:dyDescent="0.25">
      <c r="B4" s="9" t="s">
        <v>1</v>
      </c>
      <c r="C4" s="9" t="s">
        <v>2</v>
      </c>
      <c r="D4" s="9" t="s">
        <v>3</v>
      </c>
    </row>
    <row r="5" spans="2:4" x14ac:dyDescent="0.25">
      <c r="B5" s="7">
        <v>43466</v>
      </c>
      <c r="C5" s="8"/>
      <c r="D5" s="4"/>
    </row>
    <row r="6" spans="2:4" x14ac:dyDescent="0.25">
      <c r="B6" s="7">
        <v>43497</v>
      </c>
      <c r="C6" s="8"/>
      <c r="D6" s="4"/>
    </row>
    <row r="7" spans="2:4" x14ac:dyDescent="0.25">
      <c r="B7" s="7">
        <v>43525</v>
      </c>
      <c r="C7" s="8"/>
      <c r="D7" s="4"/>
    </row>
    <row r="8" spans="2:4" x14ac:dyDescent="0.25">
      <c r="B8" s="7">
        <v>43556</v>
      </c>
      <c r="C8" s="8"/>
      <c r="D8" s="4"/>
    </row>
    <row r="9" spans="2:4" x14ac:dyDescent="0.25">
      <c r="B9" s="7">
        <v>43586</v>
      </c>
      <c r="C9" s="8"/>
      <c r="D9" s="4"/>
    </row>
    <row r="10" spans="2:4" x14ac:dyDescent="0.25">
      <c r="B10" s="7">
        <v>43617</v>
      </c>
      <c r="C10" s="8"/>
      <c r="D10" s="4"/>
    </row>
    <row r="11" spans="2:4" x14ac:dyDescent="0.25">
      <c r="B11" s="7">
        <v>43647</v>
      </c>
      <c r="C11" s="8"/>
      <c r="D11" s="4"/>
    </row>
    <row r="12" spans="2:4" x14ac:dyDescent="0.25">
      <c r="B12" s="7">
        <v>43678</v>
      </c>
      <c r="C12" s="8"/>
      <c r="D12" s="4"/>
    </row>
    <row r="13" spans="2:4" x14ac:dyDescent="0.25">
      <c r="B13" s="7">
        <v>43709</v>
      </c>
      <c r="C13" s="8"/>
      <c r="D13" s="4"/>
    </row>
    <row r="14" spans="2:4" x14ac:dyDescent="0.25">
      <c r="B14" s="7">
        <v>43739</v>
      </c>
      <c r="C14" s="8"/>
      <c r="D14" s="4"/>
    </row>
    <row r="15" spans="2:4" x14ac:dyDescent="0.25">
      <c r="B15" s="7">
        <v>43770</v>
      </c>
      <c r="C15" s="8"/>
      <c r="D15" s="4"/>
    </row>
    <row r="16" spans="2:4" x14ac:dyDescent="0.25">
      <c r="B16" s="7">
        <v>43800</v>
      </c>
      <c r="C16" s="8"/>
      <c r="D16" s="4"/>
    </row>
    <row r="17" spans="2:4" x14ac:dyDescent="0.25">
      <c r="B17" s="7">
        <v>43831</v>
      </c>
      <c r="C17" s="8"/>
      <c r="D17" s="4"/>
    </row>
    <row r="18" spans="2:4" x14ac:dyDescent="0.25">
      <c r="B18" s="7">
        <v>43862</v>
      </c>
      <c r="C18" s="8"/>
      <c r="D18" s="4"/>
    </row>
    <row r="19" spans="2:4" x14ac:dyDescent="0.25">
      <c r="B19" s="7">
        <v>43891</v>
      </c>
      <c r="C19" s="8"/>
      <c r="D19" s="4"/>
    </row>
    <row r="20" spans="2:4" x14ac:dyDescent="0.25">
      <c r="B20" s="7">
        <v>43922</v>
      </c>
      <c r="C20" s="8"/>
      <c r="D20" s="4"/>
    </row>
    <row r="21" spans="2:4" x14ac:dyDescent="0.25">
      <c r="B21" s="7">
        <v>43952</v>
      </c>
      <c r="C21" s="8"/>
      <c r="D21" s="4"/>
    </row>
    <row r="22" spans="2:4" x14ac:dyDescent="0.25">
      <c r="B22" s="7">
        <v>43983</v>
      </c>
      <c r="C22" s="8"/>
      <c r="D22" s="4"/>
    </row>
    <row r="23" spans="2:4" x14ac:dyDescent="0.25">
      <c r="B23" s="7">
        <v>44013</v>
      </c>
      <c r="C23" s="8"/>
      <c r="D23" s="4"/>
    </row>
    <row r="24" spans="2:4" x14ac:dyDescent="0.25">
      <c r="B24" s="7">
        <v>44044</v>
      </c>
      <c r="C24" s="8"/>
      <c r="D24" s="4"/>
    </row>
    <row r="25" spans="2:4" x14ac:dyDescent="0.25">
      <c r="B25" s="7">
        <v>44075</v>
      </c>
      <c r="C25" s="8"/>
      <c r="D25" s="4"/>
    </row>
    <row r="26" spans="2:4" x14ac:dyDescent="0.25">
      <c r="B26" s="7">
        <v>44105</v>
      </c>
      <c r="C26" s="8"/>
      <c r="D26" s="4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7D85-FAE5-4F76-9DCC-8660E1D39FD9}">
  <sheetPr codeName="Planilha2"/>
  <dimension ref="A2:M10"/>
  <sheetViews>
    <sheetView showGridLines="0" topLeftCell="C1" zoomScaleNormal="100" workbookViewId="0">
      <pane ySplit="4" topLeftCell="A5" activePane="bottomLeft" state="frozen"/>
      <selection pane="bottomLeft" activeCell="C1" sqref="C1"/>
    </sheetView>
  </sheetViews>
  <sheetFormatPr defaultColWidth="0" defaultRowHeight="15" x14ac:dyDescent="0.25"/>
  <cols>
    <col min="1" max="1" width="2.140625" customWidth="1"/>
    <col min="2" max="2" width="14.140625" customWidth="1"/>
    <col min="3" max="3" width="17.42578125" customWidth="1"/>
    <col min="4" max="5" width="16.140625" customWidth="1"/>
    <col min="6" max="6" width="1.5703125" customWidth="1"/>
    <col min="7" max="8" width="10.5703125" customWidth="1"/>
    <col min="9" max="9" width="18.7109375" bestFit="1" customWidth="1"/>
    <col min="10" max="10" width="18.85546875" bestFit="1" customWidth="1"/>
    <col min="11" max="11" width="17.5703125" bestFit="1" customWidth="1"/>
    <col min="12" max="12" width="3.7109375" customWidth="1"/>
    <col min="13" max="13" width="0" hidden="1" customWidth="1"/>
    <col min="14" max="16384" width="9.140625" hidden="1"/>
  </cols>
  <sheetData>
    <row r="2" spans="2:11" ht="28.5" x14ac:dyDescent="0.25">
      <c r="B2" s="3" t="s">
        <v>4</v>
      </c>
      <c r="C2" s="3"/>
      <c r="D2" s="1"/>
      <c r="E2" s="1"/>
      <c r="F2" s="1"/>
      <c r="G2" s="1"/>
      <c r="H2" s="1"/>
      <c r="I2" s="1"/>
      <c r="J2" s="1"/>
      <c r="K2" s="1"/>
    </row>
    <row r="4" spans="2:11" x14ac:dyDescent="0.25">
      <c r="B4" s="13" t="s">
        <v>5</v>
      </c>
      <c r="C4" s="14" t="s">
        <v>6</v>
      </c>
      <c r="D4" s="14" t="s">
        <v>7</v>
      </c>
      <c r="E4" s="15" t="s">
        <v>8</v>
      </c>
      <c r="F4" s="36"/>
      <c r="G4" s="24" t="s">
        <v>5</v>
      </c>
      <c r="H4" s="24" t="s">
        <v>9</v>
      </c>
      <c r="I4" s="24" t="s">
        <v>10</v>
      </c>
      <c r="J4" s="24" t="s">
        <v>11</v>
      </c>
      <c r="K4" s="24" t="s">
        <v>12</v>
      </c>
    </row>
    <row r="5" spans="2:11" x14ac:dyDescent="0.25">
      <c r="B5" s="16"/>
      <c r="C5" s="17"/>
      <c r="D5" s="18"/>
      <c r="E5" s="19"/>
      <c r="F5" s="36"/>
      <c r="G5" s="17"/>
      <c r="H5" s="17"/>
      <c r="I5" s="18"/>
      <c r="J5" s="18"/>
      <c r="K5" s="18"/>
    </row>
    <row r="6" spans="2:11" x14ac:dyDescent="0.25">
      <c r="B6" s="16"/>
      <c r="C6" s="17"/>
      <c r="D6" s="18"/>
      <c r="E6" s="19"/>
      <c r="F6" s="36"/>
      <c r="G6" s="17"/>
      <c r="H6" s="17"/>
      <c r="I6" s="18"/>
      <c r="J6" s="18"/>
      <c r="K6" s="18"/>
    </row>
    <row r="7" spans="2:11" x14ac:dyDescent="0.25">
      <c r="B7" s="16"/>
      <c r="C7" s="17"/>
      <c r="D7" s="18"/>
      <c r="E7" s="19"/>
      <c r="F7" s="36"/>
    </row>
    <row r="8" spans="2:11" x14ac:dyDescent="0.25">
      <c r="B8" s="16"/>
      <c r="C8" s="17"/>
      <c r="D8" s="18"/>
      <c r="E8" s="19"/>
      <c r="F8" s="36"/>
    </row>
    <row r="9" spans="2:11" x14ac:dyDescent="0.25">
      <c r="B9" s="16"/>
      <c r="C9" s="17"/>
      <c r="D9" s="18"/>
      <c r="E9" s="19"/>
      <c r="F9" s="36"/>
    </row>
    <row r="10" spans="2:11" x14ac:dyDescent="0.25">
      <c r="B10" s="20"/>
      <c r="C10" s="21"/>
      <c r="D10" s="22"/>
      <c r="E10" s="23"/>
      <c r="F10" s="36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9E6E-F694-412F-8B37-33C649F74B15}">
  <sheetPr codeName="Planilha1"/>
  <dimension ref="A1:P22"/>
  <sheetViews>
    <sheetView showGridLines="0" tabSelected="1" zoomScale="98" zoomScaleNormal="98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E5" sqref="E5"/>
    </sheetView>
  </sheetViews>
  <sheetFormatPr defaultColWidth="0" defaultRowHeight="15" x14ac:dyDescent="0.25"/>
  <cols>
    <col min="1" max="1" width="2.28515625" customWidth="1"/>
    <col min="2" max="2" width="24.85546875" style="4" customWidth="1"/>
    <col min="3" max="3" width="19.28515625" style="4" customWidth="1"/>
    <col min="4" max="4" width="22.5703125" style="4" customWidth="1"/>
    <col min="5" max="5" width="15.42578125" style="4" customWidth="1"/>
    <col min="6" max="6" width="12.85546875" style="4" customWidth="1"/>
    <col min="7" max="7" width="15.140625" style="4" customWidth="1"/>
    <col min="8" max="11" width="12" style="4" customWidth="1"/>
    <col min="12" max="12" width="2.42578125" customWidth="1"/>
    <col min="13" max="16" width="0" hidden="1" customWidth="1"/>
    <col min="17" max="16384" width="9.140625" hidden="1"/>
  </cols>
  <sheetData>
    <row r="1" spans="2:11" ht="6" customHeight="1" x14ac:dyDescent="0.25"/>
    <row r="2" spans="2:11" ht="32.25" customHeight="1" x14ac:dyDescent="0.25">
      <c r="B2" s="39" t="s">
        <v>13</v>
      </c>
      <c r="C2" s="40"/>
      <c r="D2" s="40"/>
      <c r="E2" s="40"/>
      <c r="F2" s="40"/>
      <c r="G2" s="40"/>
      <c r="H2" s="40"/>
      <c r="I2" s="40"/>
      <c r="J2" s="40"/>
      <c r="K2" s="40"/>
    </row>
    <row r="3" spans="2:11" ht="7.5" customHeight="1" x14ac:dyDescent="0.25"/>
    <row r="4" spans="2:11" ht="34.5" customHeight="1" x14ac:dyDescent="0.25"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1" t="s">
        <v>20</v>
      </c>
      <c r="I4" s="11" t="s">
        <v>21</v>
      </c>
      <c r="J4" s="11" t="s">
        <v>22</v>
      </c>
      <c r="K4" s="11" t="s">
        <v>23</v>
      </c>
    </row>
    <row r="5" spans="2:11" x14ac:dyDescent="0.25">
      <c r="B5" s="37" t="s">
        <v>57</v>
      </c>
      <c r="C5" s="4" t="s">
        <v>73</v>
      </c>
      <c r="D5" s="38" t="s">
        <v>86</v>
      </c>
      <c r="F5" s="32"/>
      <c r="G5" s="8"/>
      <c r="H5" s="33"/>
      <c r="I5" s="8">
        <v>1</v>
      </c>
      <c r="J5" s="8" t="s">
        <v>24</v>
      </c>
    </row>
    <row r="6" spans="2:11" x14ac:dyDescent="0.25">
      <c r="B6" s="37" t="s">
        <v>52</v>
      </c>
      <c r="C6" s="4" t="s">
        <v>65</v>
      </c>
      <c r="D6" s="38" t="s">
        <v>87</v>
      </c>
      <c r="F6" s="32"/>
      <c r="G6" s="8"/>
      <c r="H6" s="33"/>
      <c r="I6" s="8">
        <v>1</v>
      </c>
      <c r="J6" s="8" t="s">
        <v>24</v>
      </c>
    </row>
    <row r="7" spans="2:11" x14ac:dyDescent="0.25">
      <c r="B7" s="37" t="s">
        <v>61</v>
      </c>
      <c r="C7" s="4" t="s">
        <v>67</v>
      </c>
      <c r="D7" s="38" t="s">
        <v>88</v>
      </c>
      <c r="F7" s="34"/>
      <c r="G7" s="35"/>
      <c r="H7" s="33"/>
      <c r="I7" s="8">
        <v>1</v>
      </c>
      <c r="J7" s="35" t="s">
        <v>24</v>
      </c>
    </row>
    <row r="8" spans="2:11" x14ac:dyDescent="0.25">
      <c r="B8" s="37" t="s">
        <v>58</v>
      </c>
      <c r="C8" s="4" t="s">
        <v>68</v>
      </c>
      <c r="D8" s="4" t="s">
        <v>89</v>
      </c>
      <c r="F8" s="32"/>
      <c r="G8" s="8"/>
      <c r="H8" s="33"/>
      <c r="I8" s="8">
        <v>1</v>
      </c>
      <c r="J8" s="8" t="s">
        <v>24</v>
      </c>
    </row>
    <row r="9" spans="2:11" x14ac:dyDescent="0.25">
      <c r="B9" s="37" t="s">
        <v>50</v>
      </c>
      <c r="C9" s="4" t="s">
        <v>75</v>
      </c>
      <c r="D9" s="4" t="s">
        <v>84</v>
      </c>
      <c r="F9" s="32"/>
      <c r="G9" s="8"/>
      <c r="H9" s="33"/>
      <c r="I9" s="8">
        <v>1</v>
      </c>
      <c r="J9" s="8" t="s">
        <v>24</v>
      </c>
    </row>
    <row r="10" spans="2:11" x14ac:dyDescent="0.25">
      <c r="B10" s="37" t="s">
        <v>62</v>
      </c>
      <c r="C10" s="4" t="s">
        <v>74</v>
      </c>
      <c r="D10" s="4" t="s">
        <v>89</v>
      </c>
      <c r="F10" s="34"/>
      <c r="G10" s="35"/>
      <c r="H10" s="33"/>
      <c r="I10" s="8">
        <v>1</v>
      </c>
      <c r="J10" s="35" t="s">
        <v>24</v>
      </c>
    </row>
    <row r="11" spans="2:11" x14ac:dyDescent="0.25">
      <c r="B11" s="37" t="s">
        <v>55</v>
      </c>
      <c r="C11" s="4" t="s">
        <v>69</v>
      </c>
      <c r="D11" s="4" t="s">
        <v>80</v>
      </c>
      <c r="F11" s="32"/>
      <c r="G11" s="8"/>
      <c r="H11" s="33"/>
      <c r="I11" s="8">
        <v>1</v>
      </c>
      <c r="J11" s="8" t="s">
        <v>24</v>
      </c>
    </row>
    <row r="12" spans="2:11" x14ac:dyDescent="0.25">
      <c r="B12" s="37" t="s">
        <v>54</v>
      </c>
      <c r="C12" s="4" t="s">
        <v>69</v>
      </c>
      <c r="D12" s="4" t="s">
        <v>80</v>
      </c>
      <c r="F12" s="32"/>
      <c r="G12" s="8"/>
      <c r="H12" s="33"/>
      <c r="I12" s="8">
        <v>1</v>
      </c>
      <c r="J12" s="8" t="s">
        <v>24</v>
      </c>
    </row>
    <row r="13" spans="2:11" x14ac:dyDescent="0.25">
      <c r="B13" s="37" t="s">
        <v>53</v>
      </c>
      <c r="C13" s="4" t="s">
        <v>69</v>
      </c>
      <c r="D13" s="4" t="s">
        <v>80</v>
      </c>
      <c r="F13" s="32"/>
      <c r="G13" s="8"/>
      <c r="H13" s="33"/>
      <c r="I13" s="8">
        <v>1</v>
      </c>
      <c r="J13" s="8" t="s">
        <v>24</v>
      </c>
    </row>
    <row r="14" spans="2:11" x14ac:dyDescent="0.25">
      <c r="B14" s="37" t="s">
        <v>59</v>
      </c>
      <c r="C14" s="4" t="s">
        <v>76</v>
      </c>
      <c r="D14" s="4" t="s">
        <v>80</v>
      </c>
      <c r="F14" s="32"/>
      <c r="G14" s="8"/>
      <c r="H14" s="33"/>
      <c r="I14" s="8">
        <v>1</v>
      </c>
      <c r="J14" s="8" t="s">
        <v>24</v>
      </c>
    </row>
    <row r="15" spans="2:11" x14ac:dyDescent="0.25">
      <c r="B15" s="37" t="s">
        <v>64</v>
      </c>
      <c r="C15" s="4" t="s">
        <v>66</v>
      </c>
      <c r="D15" s="4" t="s">
        <v>89</v>
      </c>
      <c r="F15" s="34"/>
      <c r="G15" s="35"/>
      <c r="H15" s="33"/>
      <c r="I15" s="8">
        <v>1</v>
      </c>
      <c r="J15" s="35" t="s">
        <v>24</v>
      </c>
    </row>
    <row r="16" spans="2:11" x14ac:dyDescent="0.25">
      <c r="B16" s="37" t="s">
        <v>51</v>
      </c>
      <c r="C16" s="4" t="s">
        <v>71</v>
      </c>
      <c r="D16" s="4" t="s">
        <v>85</v>
      </c>
      <c r="F16" s="32"/>
      <c r="G16" s="8"/>
      <c r="H16" s="33"/>
      <c r="I16" s="8">
        <v>1</v>
      </c>
      <c r="J16" s="8" t="s">
        <v>24</v>
      </c>
    </row>
    <row r="17" spans="2:10" x14ac:dyDescent="0.25">
      <c r="B17" s="37" t="s">
        <v>63</v>
      </c>
      <c r="C17" s="4" t="s">
        <v>77</v>
      </c>
      <c r="D17" s="4" t="s">
        <v>82</v>
      </c>
      <c r="F17" s="34"/>
      <c r="G17" s="35"/>
      <c r="H17" s="33"/>
      <c r="I17" s="8">
        <v>1</v>
      </c>
      <c r="J17" s="35" t="s">
        <v>24</v>
      </c>
    </row>
    <row r="18" spans="2:10" x14ac:dyDescent="0.25">
      <c r="B18" s="37" t="s">
        <v>49</v>
      </c>
      <c r="C18" s="4" t="s">
        <v>78</v>
      </c>
      <c r="D18" s="4" t="s">
        <v>81</v>
      </c>
      <c r="F18" s="32"/>
      <c r="G18" s="8"/>
      <c r="H18" s="33"/>
      <c r="I18" s="8">
        <v>1</v>
      </c>
      <c r="J18" s="8" t="s">
        <v>24</v>
      </c>
    </row>
    <row r="19" spans="2:10" x14ac:dyDescent="0.25">
      <c r="B19" s="37" t="s">
        <v>48</v>
      </c>
      <c r="C19" s="4" t="s">
        <v>72</v>
      </c>
      <c r="D19" s="4" t="s">
        <v>83</v>
      </c>
      <c r="F19" s="32"/>
      <c r="G19" s="8"/>
      <c r="H19" s="33"/>
      <c r="I19" s="8">
        <v>1</v>
      </c>
      <c r="J19" s="8" t="s">
        <v>24</v>
      </c>
    </row>
    <row r="20" spans="2:10" x14ac:dyDescent="0.25">
      <c r="B20" s="37" t="s">
        <v>56</v>
      </c>
      <c r="C20" s="4" t="s">
        <v>70</v>
      </c>
      <c r="D20" s="4" t="s">
        <v>89</v>
      </c>
      <c r="F20" s="32"/>
      <c r="G20" s="8"/>
      <c r="H20" s="33"/>
      <c r="I20" s="8">
        <v>1</v>
      </c>
      <c r="J20" s="8" t="s">
        <v>24</v>
      </c>
    </row>
    <row r="21" spans="2:10" x14ac:dyDescent="0.25">
      <c r="B21" s="37" t="s">
        <v>60</v>
      </c>
      <c r="C21" s="4" t="s">
        <v>79</v>
      </c>
      <c r="D21" s="4" t="s">
        <v>80</v>
      </c>
      <c r="F21" s="32"/>
      <c r="G21" s="8"/>
      <c r="H21" s="33"/>
      <c r="I21" s="8">
        <v>1</v>
      </c>
      <c r="J21" s="8" t="s">
        <v>24</v>
      </c>
    </row>
    <row r="22" spans="2:10" x14ac:dyDescent="0.25">
      <c r="B22" s="4" t="s">
        <v>25</v>
      </c>
      <c r="H22" s="12">
        <f>SUBTOTAL(109,Carteira[Percentual Meta])</f>
        <v>0</v>
      </c>
    </row>
  </sheetData>
  <phoneticPr fontId="4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14CA-D730-4E20-AE8C-78EB47A0D0B6}">
  <dimension ref="A2:K10"/>
  <sheetViews>
    <sheetView showGridLines="0" zoomScaleNormal="100" workbookViewId="0">
      <pane ySplit="4" topLeftCell="A5" activePane="bottomLeft" state="frozen"/>
      <selection pane="bottomLeft" activeCell="C10" sqref="C10"/>
    </sheetView>
  </sheetViews>
  <sheetFormatPr defaultColWidth="0" defaultRowHeight="15" x14ac:dyDescent="0.25"/>
  <cols>
    <col min="1" max="1" width="2.140625" customWidth="1"/>
    <col min="2" max="2" width="14.140625" customWidth="1"/>
    <col min="3" max="3" width="17.42578125" customWidth="1"/>
    <col min="4" max="4" width="17.5703125" bestFit="1" customWidth="1"/>
    <col min="5" max="5" width="3.7109375" customWidth="1"/>
    <col min="6" max="11" width="0" hidden="1" customWidth="1"/>
    <col min="12" max="16384" width="9.140625" hidden="1"/>
  </cols>
  <sheetData>
    <row r="2" spans="2:4" ht="28.5" x14ac:dyDescent="0.25">
      <c r="B2" s="3" t="s">
        <v>21</v>
      </c>
      <c r="C2" s="3"/>
      <c r="D2" s="31" t="str">
        <f>IFERROR(SUM(Instituições3[Enviado])/SUM(Instituições3[Convertido]),"")</f>
        <v/>
      </c>
    </row>
    <row r="3" spans="2:4" ht="12.75" customHeight="1" x14ac:dyDescent="0.25"/>
    <row r="4" spans="2:4" x14ac:dyDescent="0.25">
      <c r="B4" s="13" t="s">
        <v>26</v>
      </c>
      <c r="C4" s="14" t="s">
        <v>27</v>
      </c>
      <c r="D4" s="15" t="s">
        <v>28</v>
      </c>
    </row>
    <row r="5" spans="2:4" x14ac:dyDescent="0.25">
      <c r="B5" s="25"/>
      <c r="C5" s="27"/>
      <c r="D5" s="29" t="str">
        <f>IFERROR(Instituições3[[#This Row],[Enviado]]/Instituições3[[#This Row],[Convertido]],"")</f>
        <v/>
      </c>
    </row>
    <row r="6" spans="2:4" x14ac:dyDescent="0.25">
      <c r="B6" s="25"/>
      <c r="C6" s="27"/>
      <c r="D6" s="29" t="str">
        <f>IFERROR(Instituições3[[#This Row],[Enviado]]/Instituições3[[#This Row],[Convertido]],"")</f>
        <v/>
      </c>
    </row>
    <row r="7" spans="2:4" x14ac:dyDescent="0.25">
      <c r="B7" s="25"/>
      <c r="C7" s="27"/>
      <c r="D7" s="29" t="str">
        <f>IFERROR(Instituições3[[#This Row],[Enviado]]/Instituições3[[#This Row],[Convertido]],"")</f>
        <v/>
      </c>
    </row>
    <row r="8" spans="2:4" x14ac:dyDescent="0.25">
      <c r="B8" s="25"/>
      <c r="C8" s="27"/>
      <c r="D8" s="29" t="str">
        <f>IFERROR(Instituições3[[#This Row],[Enviado]]/Instituições3[[#This Row],[Convertido]],"")</f>
        <v/>
      </c>
    </row>
    <row r="9" spans="2:4" x14ac:dyDescent="0.25">
      <c r="B9" s="25"/>
      <c r="C9" s="27"/>
      <c r="D9" s="29" t="str">
        <f>IFERROR(Instituições3[[#This Row],[Enviado]]/Instituições3[[#This Row],[Convertido]],"")</f>
        <v/>
      </c>
    </row>
    <row r="10" spans="2:4" x14ac:dyDescent="0.25">
      <c r="B10" s="26"/>
      <c r="C10" s="28"/>
      <c r="D10" s="30" t="str">
        <f>IFERROR(Instituições3[[#This Row],[Enviado]]/Instituições3[[#This Row],[Convertido]],"")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2A5A-47CA-4DE2-BA35-5E242D56ED05}">
  <sheetPr codeName="Planilha4"/>
  <dimension ref="A2:G15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0" defaultRowHeight="15" x14ac:dyDescent="0.25"/>
  <cols>
    <col min="1" max="1" width="2.5703125" customWidth="1"/>
    <col min="2" max="2" width="17.28515625" customWidth="1"/>
    <col min="3" max="3" width="15.42578125" customWidth="1"/>
    <col min="4" max="4" width="17" customWidth="1"/>
    <col min="5" max="5" width="13.140625" customWidth="1"/>
    <col min="6" max="6" width="14.28515625" customWidth="1"/>
    <col min="7" max="7" width="2.140625" customWidth="1"/>
    <col min="8" max="16384" width="9.140625" hidden="1"/>
  </cols>
  <sheetData>
    <row r="2" spans="2:6" ht="28.5" x14ac:dyDescent="0.25">
      <c r="B2" s="3" t="s">
        <v>29</v>
      </c>
      <c r="C2" s="1"/>
      <c r="D2" s="1"/>
      <c r="E2" s="1"/>
      <c r="F2" s="1"/>
    </row>
    <row r="4" spans="2:6" x14ac:dyDescent="0.25">
      <c r="B4" s="4" t="s">
        <v>30</v>
      </c>
      <c r="C4" s="4" t="s">
        <v>6</v>
      </c>
      <c r="D4" s="4" t="s">
        <v>31</v>
      </c>
      <c r="E4" s="4" t="s">
        <v>32</v>
      </c>
      <c r="F4" s="4" t="s">
        <v>22</v>
      </c>
    </row>
    <row r="5" spans="2:6" x14ac:dyDescent="0.25">
      <c r="B5" t="s">
        <v>33</v>
      </c>
      <c r="C5" t="s">
        <v>34</v>
      </c>
      <c r="D5" s="5"/>
      <c r="E5" s="5"/>
      <c r="F5" s="6" t="s">
        <v>24</v>
      </c>
    </row>
    <row r="6" spans="2:6" x14ac:dyDescent="0.25">
      <c r="B6" t="s">
        <v>35</v>
      </c>
      <c r="C6" t="s">
        <v>34</v>
      </c>
      <c r="D6" s="5"/>
      <c r="E6" s="5"/>
      <c r="F6" s="6"/>
    </row>
    <row r="7" spans="2:6" x14ac:dyDescent="0.25">
      <c r="B7" t="s">
        <v>36</v>
      </c>
      <c r="C7" t="s">
        <v>34</v>
      </c>
      <c r="D7" s="5"/>
      <c r="E7" s="5"/>
      <c r="F7" s="6" t="s">
        <v>24</v>
      </c>
    </row>
    <row r="8" spans="2:6" x14ac:dyDescent="0.25">
      <c r="B8" t="s">
        <v>37</v>
      </c>
      <c r="C8" t="s">
        <v>38</v>
      </c>
      <c r="D8" s="5"/>
      <c r="E8" s="5"/>
      <c r="F8" s="6" t="s">
        <v>24</v>
      </c>
    </row>
    <row r="9" spans="2:6" x14ac:dyDescent="0.25">
      <c r="B9" t="s">
        <v>39</v>
      </c>
      <c r="C9" t="s">
        <v>38</v>
      </c>
      <c r="D9" s="5"/>
      <c r="E9" s="5"/>
      <c r="F9" s="6" t="s">
        <v>24</v>
      </c>
    </row>
    <row r="10" spans="2:6" x14ac:dyDescent="0.25">
      <c r="B10" t="s">
        <v>40</v>
      </c>
      <c r="C10" t="s">
        <v>38</v>
      </c>
      <c r="D10" s="5"/>
      <c r="E10" s="5"/>
      <c r="F10" s="6" t="s">
        <v>24</v>
      </c>
    </row>
    <row r="11" spans="2:6" x14ac:dyDescent="0.25">
      <c r="B11" t="s">
        <v>41</v>
      </c>
      <c r="C11" t="s">
        <v>38</v>
      </c>
      <c r="D11" s="5"/>
      <c r="E11" s="5"/>
      <c r="F11" s="6" t="s">
        <v>24</v>
      </c>
    </row>
    <row r="12" spans="2:6" x14ac:dyDescent="0.25">
      <c r="B12" t="s">
        <v>42</v>
      </c>
      <c r="C12" t="s">
        <v>38</v>
      </c>
      <c r="D12" s="5"/>
      <c r="E12" s="5"/>
      <c r="F12" s="6" t="s">
        <v>24</v>
      </c>
    </row>
    <row r="13" spans="2:6" x14ac:dyDescent="0.25">
      <c r="B13" t="s">
        <v>43</v>
      </c>
      <c r="C13" t="s">
        <v>44</v>
      </c>
      <c r="D13" s="5"/>
      <c r="E13" s="5"/>
      <c r="F13" s="6" t="s">
        <v>24</v>
      </c>
    </row>
    <row r="14" spans="2:6" x14ac:dyDescent="0.25">
      <c r="B14" t="s">
        <v>45</v>
      </c>
      <c r="C14" t="s">
        <v>44</v>
      </c>
      <c r="D14" s="5"/>
      <c r="E14" s="5"/>
      <c r="F14" s="6" t="s">
        <v>24</v>
      </c>
    </row>
    <row r="15" spans="2:6" x14ac:dyDescent="0.25">
      <c r="B15" t="s">
        <v>46</v>
      </c>
      <c r="C15" t="s">
        <v>47</v>
      </c>
      <c r="D15" s="5"/>
      <c r="E15" s="5"/>
      <c r="F15" s="6" t="s">
        <v>24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CEDFE28B571B4E83924D2516653A26" ma:contentTypeVersion="8" ma:contentTypeDescription="Create a new document." ma:contentTypeScope="" ma:versionID="0559a198459088b787e6abe32bfc52df">
  <xsd:schema xmlns:xsd="http://www.w3.org/2001/XMLSchema" xmlns:xs="http://www.w3.org/2001/XMLSchema" xmlns:p="http://schemas.microsoft.com/office/2006/metadata/properties" xmlns:ns2="41404475-5b95-4190-a8cd-88a8d1202da7" targetNamespace="http://schemas.microsoft.com/office/2006/metadata/properties" ma:root="true" ma:fieldsID="a50ff53597248b7decb8e11be994f234" ns2:_="">
    <xsd:import namespace="41404475-5b95-4190-a8cd-88a8d1202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04475-5b95-4190-a8cd-88a8d1202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8B7C7-F25D-430D-8D2F-3FE987D4BD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B34952-17A4-47EF-BE18-58AB504FA6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848AE9-4C07-46FD-BB28-5BF02E361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404475-5b95-4190-a8cd-88a8d1202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Meu Faturamento</vt:lpstr>
      <vt:lpstr>Minhas Instituições</vt:lpstr>
      <vt:lpstr>Minha Carteira</vt:lpstr>
      <vt:lpstr>Câmbio</vt:lpstr>
      <vt:lpstr>Meus Gastos Fixos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Breno Valinhas</dc:creator>
  <cp:keywords/>
  <dc:description/>
  <cp:lastModifiedBy>Priscilla Alves da Costa</cp:lastModifiedBy>
  <cp:revision/>
  <dcterms:created xsi:type="dcterms:W3CDTF">2020-10-21T13:26:37Z</dcterms:created>
  <dcterms:modified xsi:type="dcterms:W3CDTF">2022-06-09T17:37:52Z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0x010100CBCEDFE28B571B4E83924D2516653A26</vt:lpwstr>
  </property>
</Properties>
</file>