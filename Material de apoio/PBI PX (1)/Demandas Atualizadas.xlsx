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palve\Downloads\PBI PX (1)\"/>
    </mc:Choice>
  </mc:AlternateContent>
  <xr:revisionPtr revIDLastSave="0" documentId="13_ncr:1_{2C7DB7F2-0114-4A39-B4D4-3D7A2E48F3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mandas att" sheetId="2" r:id="rId1"/>
  </sheets>
  <definedNames>
    <definedName name="_xlnm._FilterDatabase" localSheetId="0" hidden="1">'Demandas att'!$A$1:$N$67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8" i="2" l="1"/>
  <c r="K28" i="2" s="1"/>
  <c r="J52" i="2"/>
  <c r="I52" i="2" s="1"/>
  <c r="J67" i="2"/>
  <c r="K67" i="2" s="1"/>
  <c r="J55" i="2"/>
  <c r="K55" i="2" s="1"/>
  <c r="J22" i="2"/>
  <c r="I22" i="2" s="1"/>
  <c r="J15" i="2"/>
  <c r="I15" i="2" s="1"/>
  <c r="J39" i="2"/>
  <c r="K39" i="2" s="1"/>
  <c r="J38" i="2"/>
  <c r="K38" i="2" s="1"/>
  <c r="J14" i="2"/>
  <c r="I14" i="2" s="1"/>
  <c r="J56" i="2"/>
  <c r="I56" i="2" s="1"/>
  <c r="J31" i="2"/>
  <c r="K31" i="2" s="1"/>
  <c r="J26" i="2"/>
  <c r="K26" i="2" s="1"/>
  <c r="J29" i="2"/>
  <c r="I29" i="2" s="1"/>
  <c r="J30" i="2"/>
  <c r="I30" i="2" s="1"/>
  <c r="J32" i="2"/>
  <c r="K32" i="2" s="1"/>
  <c r="N28" i="2"/>
  <c r="M28" i="2"/>
  <c r="N52" i="2"/>
  <c r="M52" i="2"/>
  <c r="N67" i="2"/>
  <c r="M67" i="2"/>
  <c r="N55" i="2"/>
  <c r="M55" i="2"/>
  <c r="N22" i="2"/>
  <c r="M22" i="2"/>
  <c r="N15" i="2"/>
  <c r="M15" i="2"/>
  <c r="N39" i="2"/>
  <c r="M39" i="2"/>
  <c r="N38" i="2"/>
  <c r="M38" i="2"/>
  <c r="N14" i="2"/>
  <c r="M14" i="2"/>
  <c r="N56" i="2"/>
  <c r="M56" i="2"/>
  <c r="N31" i="2"/>
  <c r="M31" i="2"/>
  <c r="N26" i="2"/>
  <c r="M26" i="2"/>
  <c r="N29" i="2"/>
  <c r="M29" i="2"/>
  <c r="N30" i="2"/>
  <c r="M30" i="2"/>
  <c r="N32" i="2"/>
  <c r="M32" i="2"/>
  <c r="N17" i="2"/>
  <c r="N16" i="2"/>
  <c r="N2" i="2"/>
  <c r="N48" i="2"/>
  <c r="N37" i="2"/>
  <c r="N36" i="2"/>
  <c r="N35" i="2"/>
  <c r="N25" i="2"/>
  <c r="N34" i="2"/>
  <c r="N33" i="2"/>
  <c r="N19" i="2"/>
  <c r="N57" i="2"/>
  <c r="N23" i="2"/>
  <c r="N4" i="2"/>
  <c r="N47" i="2"/>
  <c r="N20" i="2"/>
  <c r="N5" i="2"/>
  <c r="N54" i="2"/>
  <c r="N53" i="2"/>
  <c r="N24" i="2"/>
  <c r="N58" i="2"/>
  <c r="N60" i="2"/>
  <c r="N50" i="2"/>
  <c r="N44" i="2"/>
  <c r="N41" i="2"/>
  <c r="N59" i="2"/>
  <c r="N65" i="2"/>
  <c r="N27" i="2"/>
  <c r="N21" i="2"/>
  <c r="N66" i="2"/>
  <c r="N51" i="2"/>
  <c r="N49" i="2"/>
  <c r="N46" i="2"/>
  <c r="N63" i="2"/>
  <c r="N61" i="2"/>
  <c r="N62" i="2"/>
  <c r="N6" i="2"/>
  <c r="N8" i="2"/>
  <c r="N9" i="2"/>
  <c r="N43" i="2"/>
  <c r="N3" i="2"/>
  <c r="N11" i="2"/>
  <c r="N64" i="2"/>
  <c r="N7" i="2"/>
  <c r="N12" i="2"/>
  <c r="N13" i="2"/>
  <c r="N45" i="2"/>
  <c r="N42" i="2"/>
  <c r="N10" i="2"/>
  <c r="N18" i="2"/>
  <c r="N40" i="2"/>
  <c r="M18" i="2"/>
  <c r="M17" i="2"/>
  <c r="M16" i="2"/>
  <c r="M2" i="2"/>
  <c r="M48" i="2"/>
  <c r="M37" i="2"/>
  <c r="M36" i="2"/>
  <c r="M35" i="2"/>
  <c r="M25" i="2"/>
  <c r="M34" i="2"/>
  <c r="M33" i="2"/>
  <c r="M19" i="2"/>
  <c r="M57" i="2"/>
  <c r="M23" i="2"/>
  <c r="M4" i="2"/>
  <c r="M47" i="2"/>
  <c r="M20" i="2"/>
  <c r="M5" i="2"/>
  <c r="M54" i="2"/>
  <c r="M53" i="2"/>
  <c r="M24" i="2"/>
  <c r="M58" i="2"/>
  <c r="M60" i="2"/>
  <c r="M50" i="2"/>
  <c r="M44" i="2"/>
  <c r="M41" i="2"/>
  <c r="M59" i="2"/>
  <c r="M65" i="2"/>
  <c r="M27" i="2"/>
  <c r="M21" i="2"/>
  <c r="M66" i="2"/>
  <c r="M51" i="2"/>
  <c r="M49" i="2"/>
  <c r="M46" i="2"/>
  <c r="M63" i="2"/>
  <c r="M61" i="2"/>
  <c r="M62" i="2"/>
  <c r="M6" i="2"/>
  <c r="M8" i="2"/>
  <c r="M9" i="2"/>
  <c r="M43" i="2"/>
  <c r="M3" i="2"/>
  <c r="M11" i="2"/>
  <c r="M64" i="2"/>
  <c r="M7" i="2"/>
  <c r="M12" i="2"/>
  <c r="M13" i="2"/>
  <c r="M45" i="2"/>
  <c r="M42" i="2"/>
  <c r="M10" i="2"/>
  <c r="M40" i="2"/>
  <c r="J18" i="2"/>
  <c r="I18" i="2" s="1"/>
  <c r="J10" i="2"/>
  <c r="I10" i="2" s="1"/>
  <c r="J45" i="2"/>
  <c r="K45" i="2" s="1"/>
  <c r="K14" i="2" l="1"/>
  <c r="I39" i="2"/>
  <c r="K22" i="2"/>
  <c r="I31" i="2"/>
  <c r="I67" i="2"/>
  <c r="I32" i="2"/>
  <c r="K29" i="2"/>
  <c r="I26" i="2"/>
  <c r="I38" i="2"/>
  <c r="I55" i="2"/>
  <c r="K30" i="2"/>
  <c r="K56" i="2"/>
  <c r="K15" i="2"/>
  <c r="K52" i="2"/>
  <c r="I28" i="2"/>
  <c r="K18" i="2"/>
  <c r="K10" i="2"/>
  <c r="J43" i="2" l="1"/>
  <c r="K43" i="2" s="1"/>
  <c r="J42" i="2"/>
  <c r="I42" i="2" s="1"/>
  <c r="J51" i="2"/>
  <c r="I51" i="2" s="1"/>
  <c r="J49" i="2"/>
  <c r="I49" i="2" s="1"/>
  <c r="J44" i="2"/>
  <c r="I44" i="2" s="1"/>
  <c r="J41" i="2"/>
  <c r="I41" i="2" s="1"/>
  <c r="J24" i="2"/>
  <c r="I24" i="2" s="1"/>
  <c r="J58" i="2"/>
  <c r="I58" i="2" s="1"/>
  <c r="J60" i="2"/>
  <c r="K60" i="2" s="1"/>
  <c r="J50" i="2"/>
  <c r="K50" i="2" s="1"/>
  <c r="J48" i="2"/>
  <c r="I48" i="2" s="1"/>
  <c r="J37" i="2"/>
  <c r="I37" i="2" s="1"/>
  <c r="J36" i="2"/>
  <c r="K36" i="2" s="1"/>
  <c r="J35" i="2"/>
  <c r="K35" i="2" s="1"/>
  <c r="J25" i="2"/>
  <c r="I25" i="2" s="1"/>
  <c r="J34" i="2"/>
  <c r="K34" i="2" s="1"/>
  <c r="J33" i="2"/>
  <c r="I33" i="2" s="1"/>
  <c r="J19" i="2"/>
  <c r="K19" i="2" s="1"/>
  <c r="J57" i="2"/>
  <c r="I57" i="2" s="1"/>
  <c r="J23" i="2"/>
  <c r="I23" i="2" s="1"/>
  <c r="J4" i="2"/>
  <c r="K4" i="2" s="1"/>
  <c r="J47" i="2"/>
  <c r="K47" i="2" s="1"/>
  <c r="J20" i="2"/>
  <c r="I20" i="2" s="1"/>
  <c r="J5" i="2"/>
  <c r="I5" i="2" s="1"/>
  <c r="J54" i="2"/>
  <c r="I54" i="2" s="1"/>
  <c r="J53" i="2"/>
  <c r="I53" i="2" s="1"/>
  <c r="J40" i="2"/>
  <c r="I40" i="2" s="1"/>
  <c r="J17" i="2"/>
  <c r="K17" i="2" s="1"/>
  <c r="J16" i="2"/>
  <c r="K16" i="2" s="1"/>
  <c r="J2" i="2"/>
  <c r="I2" i="2" s="1"/>
  <c r="I43" i="2" l="1"/>
  <c r="K42" i="2"/>
  <c r="K53" i="2"/>
  <c r="K49" i="2"/>
  <c r="K51" i="2"/>
  <c r="I50" i="2"/>
  <c r="K41" i="2"/>
  <c r="I35" i="2"/>
  <c r="K44" i="2"/>
  <c r="I60" i="2"/>
  <c r="K5" i="2"/>
  <c r="I19" i="2"/>
  <c r="K58" i="2"/>
  <c r="I34" i="2"/>
  <c r="K24" i="2"/>
  <c r="I47" i="2"/>
  <c r="K37" i="2"/>
  <c r="K23" i="2"/>
  <c r="K20" i="2"/>
  <c r="I4" i="2"/>
  <c r="K25" i="2"/>
  <c r="I36" i="2"/>
  <c r="K54" i="2"/>
  <c r="K33" i="2"/>
  <c r="K57" i="2"/>
  <c r="K48" i="2"/>
  <c r="I17" i="2"/>
  <c r="K40" i="2"/>
  <c r="I16" i="2"/>
  <c r="K2" i="2"/>
  <c r="J64" i="2" l="1"/>
  <c r="K64" i="2" s="1"/>
  <c r="I64" i="2" l="1"/>
  <c r="J13" i="2"/>
  <c r="K13" i="2" s="1"/>
  <c r="J12" i="2"/>
  <c r="I12" i="2" s="1"/>
  <c r="J7" i="2"/>
  <c r="K7" i="2" s="1"/>
  <c r="J11" i="2"/>
  <c r="K11" i="2" s="1"/>
  <c r="J3" i="2"/>
  <c r="K3" i="2" s="1"/>
  <c r="J9" i="2"/>
  <c r="I9" i="2" s="1"/>
  <c r="J8" i="2"/>
  <c r="I8" i="2" s="1"/>
  <c r="J6" i="2"/>
  <c r="I6" i="2" s="1"/>
  <c r="J62" i="2"/>
  <c r="I62" i="2" s="1"/>
  <c r="J61" i="2"/>
  <c r="I61" i="2" s="1"/>
  <c r="J63" i="2"/>
  <c r="I63" i="2" s="1"/>
  <c r="J46" i="2"/>
  <c r="I46" i="2" s="1"/>
  <c r="J66" i="2"/>
  <c r="I66" i="2" s="1"/>
  <c r="J21" i="2"/>
  <c r="I21" i="2" s="1"/>
  <c r="J27" i="2"/>
  <c r="I27" i="2" s="1"/>
  <c r="J65" i="2"/>
  <c r="I65" i="2" s="1"/>
  <c r="J59" i="2"/>
  <c r="I59" i="2" s="1"/>
  <c r="I13" i="2" l="1"/>
  <c r="K12" i="2"/>
  <c r="I7" i="2"/>
  <c r="I11" i="2"/>
  <c r="I3" i="2"/>
  <c r="K21" i="2"/>
  <c r="K6" i="2"/>
  <c r="K59" i="2"/>
  <c r="K63" i="2"/>
  <c r="K9" i="2"/>
  <c r="K8" i="2"/>
  <c r="K66" i="2"/>
  <c r="K62" i="2"/>
  <c r="K27" i="2"/>
  <c r="K61" i="2"/>
  <c r="K65" i="2"/>
  <c r="K46" i="2"/>
</calcChain>
</file>

<file path=xl/sharedStrings.xml><?xml version="1.0" encoding="utf-8"?>
<sst xmlns="http://schemas.openxmlformats.org/spreadsheetml/2006/main" count="347" uniqueCount="101">
  <si>
    <t>Demanda</t>
  </si>
  <si>
    <t>RH</t>
  </si>
  <si>
    <t>Endomarketing</t>
  </si>
  <si>
    <t>ÁREA RESP</t>
  </si>
  <si>
    <t>Speech</t>
  </si>
  <si>
    <t>Financeiro</t>
  </si>
  <si>
    <t>R&amp;S</t>
  </si>
  <si>
    <t>Qualidade</t>
  </si>
  <si>
    <t>Treinamento</t>
  </si>
  <si>
    <t>Categoria</t>
  </si>
  <si>
    <t>Prioridade</t>
  </si>
  <si>
    <t>MÉDIA</t>
  </si>
  <si>
    <t>ALTA</t>
  </si>
  <si>
    <t>BAIXA</t>
  </si>
  <si>
    <t>Em backlog</t>
  </si>
  <si>
    <t>Em desenvolvimento</t>
  </si>
  <si>
    <t>Concluido</t>
  </si>
  <si>
    <t>Atualização diária</t>
  </si>
  <si>
    <t>Cultura</t>
  </si>
  <si>
    <t>Projetos Especiais</t>
  </si>
  <si>
    <t>Criação do Dashboard Recrutamento &amp; Seleção</t>
  </si>
  <si>
    <t>Diário de atividades 10h</t>
  </si>
  <si>
    <t>Diário de atividades 12h</t>
  </si>
  <si>
    <t>Diário de Atividades 15h</t>
  </si>
  <si>
    <t>Indicadores RH (TO e ABS)</t>
  </si>
  <si>
    <t>Diário de Atividades 17h</t>
  </si>
  <si>
    <t>Diário de Atividades 22h</t>
  </si>
  <si>
    <t>Automatização Diário de Atividades</t>
  </si>
  <si>
    <t>Mudança no Layout do PBI (NuBank)</t>
  </si>
  <si>
    <t>Visão Rechamada e Reconexão</t>
  </si>
  <si>
    <t>Construção do BOT (Vitória Ajuda)</t>
  </si>
  <si>
    <t>Construção Relatório (Vitória Ajuda)</t>
  </si>
  <si>
    <t>Levantamento de informações Bot RH (Vitória Ajuda).</t>
  </si>
  <si>
    <t>Atualização da base JXplorer</t>
  </si>
  <si>
    <t>Ativos M-1 (Financeiro)</t>
  </si>
  <si>
    <t>Criação do Dashboard Financeiro Ivan</t>
  </si>
  <si>
    <t>Atualização da base do 0800</t>
  </si>
  <si>
    <t>Ajuda de custo (RH)</t>
  </si>
  <si>
    <t>Fechamento de Indicadores (Ivan, Rh e Deleon)</t>
  </si>
  <si>
    <t>Organorama (RH e Operações)</t>
  </si>
  <si>
    <t>Ajuda de atestados (RH)</t>
  </si>
  <si>
    <t>Criação do Dashboard Benefícios</t>
  </si>
  <si>
    <t>Criação do Dashboard Folha</t>
  </si>
  <si>
    <t>Criação Painel de extração</t>
  </si>
  <si>
    <t>Ajustes pontuais no PBI Speech NuBank</t>
  </si>
  <si>
    <t>Alertas Quantidade de transcrições por dia (NuBank)</t>
  </si>
  <si>
    <t>Alertas do tempo de hang up do operador (NuBank)</t>
  </si>
  <si>
    <t>Visão Jornada do cliente (NuBank)</t>
  </si>
  <si>
    <t>Visão de Vícios de linguagens (NuBank)</t>
  </si>
  <si>
    <t>Visão de validação do formulário de qualidade (NuBank)</t>
  </si>
  <si>
    <t>DASHBOARD WEROX</t>
  </si>
  <si>
    <t>PROJETO ROAD TO JX</t>
  </si>
  <si>
    <t>Reestruturação B.I DA QUALIDADE + automação direta</t>
  </si>
  <si>
    <t>Visão top NC/NCG</t>
  </si>
  <si>
    <t>Projeto Dash TRN</t>
  </si>
  <si>
    <t>Visão Quadrante por meta</t>
  </si>
  <si>
    <t>Dashboard Auditorias</t>
  </si>
  <si>
    <t>Dashboard Monitorias Externas</t>
  </si>
  <si>
    <t>DT SOLICITAÇÃO</t>
  </si>
  <si>
    <t>DT INICIO da demanda</t>
  </si>
  <si>
    <t>DT FIM da demanda</t>
  </si>
  <si>
    <t>Tempo em desenvolvimento em horas/dia</t>
  </si>
  <si>
    <t>Tempo em desenvolvimento em dia</t>
  </si>
  <si>
    <t>Tempo em segundos</t>
  </si>
  <si>
    <t>Criação novas visões Speech Carrefour REPLICAR visões NB</t>
  </si>
  <si>
    <t>Dashboard Chama no PV</t>
  </si>
  <si>
    <t>Visão de Inconformidades (Carrefour)</t>
  </si>
  <si>
    <t>Visão TMA Natural x TMA  Rechamada e Reconexão (Carrefour)</t>
  </si>
  <si>
    <t>Responsável</t>
  </si>
  <si>
    <t>Visão Jornada do cliente (Carrefour)</t>
  </si>
  <si>
    <t>Visão Bibliotecas (Carrefour)</t>
  </si>
  <si>
    <t>Patryck</t>
  </si>
  <si>
    <t>Projeto Ficha Financeira RH</t>
  </si>
  <si>
    <t>Validação das Visões Rescisão</t>
  </si>
  <si>
    <t>Dashboard Executivo (Dedo Duro)</t>
  </si>
  <si>
    <t>Ajustes pontuais no PBI Speech Carrefour</t>
  </si>
  <si>
    <t>Dash financeiro Ivan</t>
  </si>
  <si>
    <t>Visão de Processamento (Carrefour)</t>
  </si>
  <si>
    <t>Projeto Power BI</t>
  </si>
  <si>
    <t>Decorrido</t>
  </si>
  <si>
    <t>Gouveia</t>
  </si>
  <si>
    <t>Status</t>
  </si>
  <si>
    <t>Atrasado</t>
  </si>
  <si>
    <t>Priscila</t>
  </si>
  <si>
    <t>Elaborar formato de seleção home e presencial com escala em diferentes turnos</t>
  </si>
  <si>
    <t>Comitê Estratégia</t>
  </si>
  <si>
    <t>Elaborar formato de treinamento presencial com escala em diferentes turnos</t>
  </si>
  <si>
    <t>Elaborar um processo de pós venda/retenção vinculado diretamente com o onboarding</t>
  </si>
  <si>
    <t>Gerentes apresentar proposta de pessoas maduras para representar a área (Acredito que já validado no novo organograma)</t>
  </si>
  <si>
    <t>Elaborar formato de treinamento no moodle em período contraturno do horário de expediente(para UC)</t>
  </si>
  <si>
    <t>Capacitar multiplicadores e que tenham metas atreladas, como nota de qualidade</t>
  </si>
  <si>
    <t>Relação de Instrutores e monitores, com conhecimento como operador dentro do produto</t>
  </si>
  <si>
    <t>Definir trilha de cursos obrigatórios de onboarding operadores, líderes e apoio.</t>
  </si>
  <si>
    <t>Definir trilha de cursos obrigatórios + regra para exercer nova função (líderes e apoio)</t>
  </si>
  <si>
    <t>Regra de ativação de comunicação com novos colaboradores, montar plano e apresentar</t>
  </si>
  <si>
    <t>Novo cronograma/programa para o NESTING (definir quem responsável e se seguiremos formato pocket)</t>
  </si>
  <si>
    <t>Cases de sucessos da qualidade ser preventivo &gt; Se obter sucesso replicar pra todos</t>
  </si>
  <si>
    <t>Ação social com a URBS para os casos de VT @Fabio SESMT Services</t>
  </si>
  <si>
    <t>Controle/logistica:" Falha na entrega de equipamentos/faltando, operador ir e voltar 3 vezes" (Quantificar em números/controles os casos que voltam por equipamento já ser entregue com falha pela T.I)</t>
  </si>
  <si>
    <t>Estrutura endomarketing com facilites para atender eventos/visitas</t>
  </si>
  <si>
    <t>ÁREA ORIGEM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</si>
</sst>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theme="0" tint="-0.149967955565050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9" fontId="1" fillId="3" borderId="1" xfId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" fontId="5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orcentagem 2" xfId="1" xr:uid="{5579CAFE-1E42-40C5-8B8D-F879323E9881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ColWidth="62" defaultRowHeight="15" x14ac:dyDescent="0.25"/>
  <cols>
    <col min="1" max="1" width="56.5703125" style="11" customWidth="1"/>
    <col min="2" max="2" width="34.28515625" style="1" customWidth="1"/>
    <col min="3" max="3" width="18.140625" style="1" bestFit="1" customWidth="1"/>
    <col min="4" max="4" width="16.28515625" style="1" bestFit="1" customWidth="1"/>
    <col min="5" max="5" width="20.42578125" style="1" bestFit="1" customWidth="1"/>
    <col min="6" max="6" width="22.42578125" style="1" bestFit="1" customWidth="1"/>
    <col min="7" max="7" width="19.42578125" style="1" customWidth="1"/>
    <col min="8" max="8" width="12.140625" style="1" customWidth="1"/>
    <col min="9" max="9" width="25.42578125" style="6" customWidth="1"/>
    <col min="10" max="10" width="29.28515625" style="1" customWidth="1"/>
    <col min="11" max="11" width="16.140625" style="1" customWidth="1"/>
    <col min="12" max="12" width="13.42578125" style="1" customWidth="1"/>
    <col min="13" max="13" width="14" style="1" customWidth="1"/>
    <col min="14" max="14" width="9.28515625" style="1" customWidth="1"/>
    <col min="15" max="16384" width="62" style="1"/>
  </cols>
  <sheetData>
    <row r="1" spans="1:21" s="16" customFormat="1" ht="36" customHeight="1" thickBot="1" x14ac:dyDescent="0.3">
      <c r="A1" s="13" t="s">
        <v>0</v>
      </c>
      <c r="B1" s="12" t="s">
        <v>100</v>
      </c>
      <c r="C1" s="13" t="s">
        <v>3</v>
      </c>
      <c r="D1" s="13" t="s">
        <v>10</v>
      </c>
      <c r="E1" s="14" t="s">
        <v>9</v>
      </c>
      <c r="F1" s="14" t="s">
        <v>58</v>
      </c>
      <c r="G1" s="13" t="s">
        <v>59</v>
      </c>
      <c r="H1" s="13" t="s">
        <v>60</v>
      </c>
      <c r="I1" s="15" t="s">
        <v>62</v>
      </c>
      <c r="J1" s="13" t="s">
        <v>61</v>
      </c>
      <c r="K1" s="13" t="s">
        <v>63</v>
      </c>
      <c r="L1" s="13" t="s">
        <v>68</v>
      </c>
      <c r="M1" s="13" t="s">
        <v>79</v>
      </c>
      <c r="N1" s="13" t="s">
        <v>81</v>
      </c>
    </row>
    <row r="2" spans="1:21" ht="17.25" thickTop="1" thickBot="1" x14ac:dyDescent="0.3">
      <c r="A2" s="10" t="s">
        <v>53</v>
      </c>
      <c r="B2" s="4"/>
      <c r="C2" s="1" t="s">
        <v>7</v>
      </c>
      <c r="D2" s="1" t="s">
        <v>13</v>
      </c>
      <c r="E2" s="3" t="s">
        <v>14</v>
      </c>
      <c r="F2" s="5">
        <v>44426</v>
      </c>
      <c r="G2" s="5"/>
      <c r="I2" s="6">
        <f ca="1">DAY(J2)</f>
        <v>0</v>
      </c>
      <c r="J2" s="7">
        <f ca="1">IF(G2="",0,IF(H2="",(NOW()-G2),(H2-G2)))</f>
        <v>0</v>
      </c>
      <c r="K2" s="8">
        <f ca="1">J2*86400</f>
        <v>0</v>
      </c>
      <c r="L2" s="1" t="s">
        <v>71</v>
      </c>
      <c r="M2" s="2" t="str">
        <f ca="1">IFERROR(IF(G2&gt;TODAY(),"0%",IF(TODAY()&gt;H2,"100%",(TODAY()-G2)/(G2-H2))),"-")</f>
        <v>100%</v>
      </c>
      <c r="N2" s="9">
        <f>VLOOKUP(E2,$T$2:$U$6,2,0)</f>
        <v>50</v>
      </c>
      <c r="T2" s="1" t="s">
        <v>17</v>
      </c>
      <c r="U2" s="9">
        <v>0</v>
      </c>
    </row>
    <row r="3" spans="1:21" ht="17.25" thickTop="1" thickBot="1" x14ac:dyDescent="0.3">
      <c r="A3" s="11" t="s">
        <v>67</v>
      </c>
      <c r="C3" s="1" t="s">
        <v>4</v>
      </c>
      <c r="D3" s="1" t="s">
        <v>11</v>
      </c>
      <c r="E3" s="3" t="s">
        <v>16</v>
      </c>
      <c r="F3" s="5">
        <v>44475</v>
      </c>
      <c r="G3" s="5">
        <v>44476</v>
      </c>
      <c r="H3" s="5">
        <v>44482</v>
      </c>
      <c r="I3" s="6">
        <f ca="1">DAY(J3)</f>
        <v>6</v>
      </c>
      <c r="J3" s="7">
        <f ca="1">IF(G3="",0,IF(H3="",(NOW()-G3),(H3-G3)))</f>
        <v>6</v>
      </c>
      <c r="K3" s="8">
        <f ca="1">J3*86400</f>
        <v>518400</v>
      </c>
      <c r="L3" s="1" t="s">
        <v>80</v>
      </c>
      <c r="M3" s="2" t="str">
        <f ca="1">IFERROR(IF(G3&gt;TODAY(),"0%",IF(TODAY()&gt;H3,"100%",(TODAY()-G3)/(G3-H3))),"-")</f>
        <v>100%</v>
      </c>
      <c r="N3" s="9">
        <f>VLOOKUP(E3,$T$2:$U$6,2,0)</f>
        <v>25</v>
      </c>
      <c r="T3" s="1" t="s">
        <v>16</v>
      </c>
      <c r="U3" s="9">
        <v>25</v>
      </c>
    </row>
    <row r="4" spans="1:21" ht="17.25" thickTop="1" thickBot="1" x14ac:dyDescent="0.3">
      <c r="A4" s="11" t="s">
        <v>29</v>
      </c>
      <c r="C4" s="1" t="s">
        <v>4</v>
      </c>
      <c r="D4" s="1" t="s">
        <v>12</v>
      </c>
      <c r="E4" s="3" t="s">
        <v>16</v>
      </c>
      <c r="F4" s="5">
        <v>44463</v>
      </c>
      <c r="G4" s="5">
        <v>44466</v>
      </c>
      <c r="H4" s="5">
        <v>44467</v>
      </c>
      <c r="I4" s="6">
        <f ca="1">DAY(J4)</f>
        <v>1</v>
      </c>
      <c r="J4" s="7">
        <f ca="1">IF(G4="",0,IF(H4="",(NOW()-G4),(H4-G4)))</f>
        <v>1</v>
      </c>
      <c r="K4" s="8">
        <f ca="1">J4*86400</f>
        <v>86400</v>
      </c>
      <c r="L4" s="1" t="s">
        <v>71</v>
      </c>
      <c r="M4" s="2" t="str">
        <f ca="1">IFERROR(IF(G4&gt;TODAY(),"0%",IF(TODAY()&gt;H4,"100%",(TODAY()-G4)/(G4-H4))),"-")</f>
        <v>100%</v>
      </c>
      <c r="N4" s="9">
        <f>VLOOKUP(E4,$T$2:$U$6,2,0)</f>
        <v>25</v>
      </c>
      <c r="T4" s="1" t="s">
        <v>14</v>
      </c>
      <c r="U4" s="9">
        <v>50</v>
      </c>
    </row>
    <row r="5" spans="1:21" ht="17.25" thickTop="1" thickBot="1" x14ac:dyDescent="0.3">
      <c r="A5" s="10" t="s">
        <v>55</v>
      </c>
      <c r="B5" s="4"/>
      <c r="C5" s="1" t="s">
        <v>7</v>
      </c>
      <c r="D5" s="1" t="s">
        <v>13</v>
      </c>
      <c r="E5" s="3" t="s">
        <v>14</v>
      </c>
      <c r="F5" s="5">
        <v>44426</v>
      </c>
      <c r="G5" s="5"/>
      <c r="I5" s="6">
        <f ca="1">DAY(J5)</f>
        <v>0</v>
      </c>
      <c r="J5" s="7">
        <f ca="1">IF(G5="",0,IF(H5="",(NOW()-G5),(H5-G5)))</f>
        <v>0</v>
      </c>
      <c r="K5" s="8">
        <f ca="1">J5*86400</f>
        <v>0</v>
      </c>
      <c r="L5" s="1" t="s">
        <v>71</v>
      </c>
      <c r="M5" s="2" t="str">
        <f ca="1">IFERROR(IF(G5&gt;TODAY(),"0%",IF(TODAY()&gt;H5,"100%",(TODAY()-G5)/(G5-H5))),"-")</f>
        <v>100%</v>
      </c>
      <c r="N5" s="9">
        <f>VLOOKUP(E5,$T$2:$U$6,2,0)</f>
        <v>50</v>
      </c>
      <c r="T5" s="1" t="s">
        <v>15</v>
      </c>
      <c r="U5" s="9">
        <v>75</v>
      </c>
    </row>
    <row r="6" spans="1:21" ht="17.25" thickTop="1" thickBot="1" x14ac:dyDescent="0.3">
      <c r="A6" s="11" t="s">
        <v>47</v>
      </c>
      <c r="C6" s="1" t="s">
        <v>4</v>
      </c>
      <c r="D6" s="1" t="s">
        <v>13</v>
      </c>
      <c r="E6" s="3" t="s">
        <v>14</v>
      </c>
      <c r="F6" s="5">
        <v>44461</v>
      </c>
      <c r="G6" s="5"/>
      <c r="I6" s="6">
        <f ca="1">DAY(J6)</f>
        <v>0</v>
      </c>
      <c r="J6" s="7">
        <f ca="1">IF(G6="",0,IF(H6="",(NOW()-G6),(H6-G6)))</f>
        <v>0</v>
      </c>
      <c r="K6" s="8">
        <f ca="1">J6*86400</f>
        <v>0</v>
      </c>
      <c r="L6" s="1" t="s">
        <v>80</v>
      </c>
      <c r="M6" s="2" t="str">
        <f ca="1">IFERROR(IF(G6&gt;TODAY(),"0%",IF(TODAY()&gt;H6,"100%",(TODAY()-G6)/(G6-H6))),"-")</f>
        <v>100%</v>
      </c>
      <c r="N6" s="9">
        <f>VLOOKUP(E6,$T$2:$U$6,2,0)</f>
        <v>50</v>
      </c>
      <c r="T6" s="1" t="s">
        <v>82</v>
      </c>
      <c r="U6" s="9">
        <v>150</v>
      </c>
    </row>
    <row r="7" spans="1:21" ht="17.25" thickTop="1" thickBot="1" x14ac:dyDescent="0.3">
      <c r="A7" s="11" t="s">
        <v>69</v>
      </c>
      <c r="C7" s="1" t="s">
        <v>4</v>
      </c>
      <c r="D7" s="1" t="s">
        <v>13</v>
      </c>
      <c r="E7" s="3" t="s">
        <v>16</v>
      </c>
      <c r="F7" s="5">
        <v>44475</v>
      </c>
      <c r="G7" s="5">
        <v>44484</v>
      </c>
      <c r="H7" s="5">
        <v>44489</v>
      </c>
      <c r="I7" s="6">
        <f ca="1">DAY(J7)</f>
        <v>5</v>
      </c>
      <c r="J7" s="7">
        <f ca="1">IF(G7="",0,IF(H7="",(NOW()-G7),(H7-G7)))</f>
        <v>5</v>
      </c>
      <c r="K7" s="8">
        <f ca="1">J7*86400</f>
        <v>432000</v>
      </c>
      <c r="L7" s="1" t="s">
        <v>80</v>
      </c>
      <c r="M7" s="2" t="str">
        <f ca="1">IFERROR(IF(G7&gt;TODAY(),"0%",IF(TODAY()&gt;H7,"100%",(TODAY()-G7)/(G7-H7))),"-")</f>
        <v>100%</v>
      </c>
      <c r="N7" s="9">
        <f>VLOOKUP(E7,$T$2:$U$6,2,0)</f>
        <v>25</v>
      </c>
    </row>
    <row r="8" spans="1:21" ht="17.25" thickTop="1" thickBot="1" x14ac:dyDescent="0.3">
      <c r="A8" s="11" t="s">
        <v>48</v>
      </c>
      <c r="C8" s="1" t="s">
        <v>4</v>
      </c>
      <c r="D8" s="1" t="s">
        <v>13</v>
      </c>
      <c r="E8" s="3" t="s">
        <v>15</v>
      </c>
      <c r="F8" s="5">
        <v>44461</v>
      </c>
      <c r="G8" s="5">
        <v>44490</v>
      </c>
      <c r="I8" s="6">
        <f ca="1">DAY(J8)</f>
        <v>26</v>
      </c>
      <c r="J8" s="7">
        <f ca="1">IF(G8="",0,IF(H8="",(NOW()-G8),(H8-G8)))</f>
        <v>239.38596932870132</v>
      </c>
      <c r="K8" s="8">
        <f ca="1">J8*86400</f>
        <v>20682947.749999795</v>
      </c>
      <c r="L8" s="1" t="s">
        <v>80</v>
      </c>
      <c r="M8" s="2" t="str">
        <f ca="1">IFERROR(IF(G8&gt;TODAY(),"0%",IF(TODAY()&gt;H8,"100%",(TODAY()-G8)/(G8-H8))),"-")</f>
        <v>100%</v>
      </c>
      <c r="N8" s="9">
        <f>VLOOKUP(E8,$T$2:$U$6,2,0)</f>
        <v>75</v>
      </c>
    </row>
    <row r="9" spans="1:21" ht="17.25" thickTop="1" thickBot="1" x14ac:dyDescent="0.3">
      <c r="A9" s="11" t="s">
        <v>49</v>
      </c>
      <c r="C9" s="1" t="s">
        <v>4</v>
      </c>
      <c r="D9" s="1" t="s">
        <v>13</v>
      </c>
      <c r="E9" s="3" t="s">
        <v>14</v>
      </c>
      <c r="F9" s="5">
        <v>44461</v>
      </c>
      <c r="G9" s="5"/>
      <c r="I9" s="6">
        <f ca="1">DAY(J9)</f>
        <v>0</v>
      </c>
      <c r="J9" s="7">
        <f ca="1">IF(G9="",0,IF(H9="",(NOW()-G9),(H9-G9)))</f>
        <v>0</v>
      </c>
      <c r="K9" s="8">
        <f ca="1">J9*86400</f>
        <v>0</v>
      </c>
      <c r="L9" s="1" t="s">
        <v>80</v>
      </c>
      <c r="M9" s="2" t="str">
        <f ca="1">IFERROR(IF(G9&gt;TODAY(),"0%",IF(TODAY()&gt;H9,"100%",(TODAY()-G9)/(G9-H9))),"-")</f>
        <v>100%</v>
      </c>
      <c r="N9" s="9">
        <f>VLOOKUP(E9,$T$2:$U$6,2,0)</f>
        <v>50</v>
      </c>
    </row>
    <row r="10" spans="1:21" ht="17.25" thickTop="1" thickBot="1" x14ac:dyDescent="0.3">
      <c r="A10" s="11" t="s">
        <v>77</v>
      </c>
      <c r="C10" s="1" t="s">
        <v>4</v>
      </c>
      <c r="E10" s="3" t="s">
        <v>82</v>
      </c>
      <c r="F10" s="5">
        <v>44491</v>
      </c>
      <c r="I10" s="6">
        <f ca="1">DAY(J10)</f>
        <v>0</v>
      </c>
      <c r="J10" s="7">
        <f ca="1">IF(G10="",0,IF(H10="",(NOW()-G10),(H10-G10)))</f>
        <v>0</v>
      </c>
      <c r="K10" s="8">
        <f ca="1">J10*86400</f>
        <v>0</v>
      </c>
      <c r="L10" s="1" t="s">
        <v>71</v>
      </c>
      <c r="M10" s="2" t="str">
        <f ca="1">IFERROR(IF(G10&gt;TODAY(),"0%",IF(TODAY()&gt;H10,"100%",(TODAY()-G10)/(G10-H10))),"-")</f>
        <v>100%</v>
      </c>
      <c r="N10" s="9">
        <f>VLOOKUP(E10,$T$2:$U$6,2,0)</f>
        <v>150</v>
      </c>
    </row>
    <row r="11" spans="1:21" ht="17.25" thickTop="1" thickBot="1" x14ac:dyDescent="0.3">
      <c r="A11" s="11" t="s">
        <v>66</v>
      </c>
      <c r="C11" s="1" t="s">
        <v>4</v>
      </c>
      <c r="D11" s="1" t="s">
        <v>11</v>
      </c>
      <c r="E11" s="3" t="s">
        <v>16</v>
      </c>
      <c r="F11" s="5">
        <v>44475</v>
      </c>
      <c r="G11" s="5">
        <v>44475</v>
      </c>
      <c r="H11" s="5">
        <v>44476</v>
      </c>
      <c r="I11" s="6">
        <f ca="1">DAY(J11)</f>
        <v>1</v>
      </c>
      <c r="J11" s="7">
        <f ca="1">IF(G11="",0,IF(H11="",(NOW()-G11),(H11-G11)))</f>
        <v>1</v>
      </c>
      <c r="K11" s="8">
        <f ca="1">J11*86400</f>
        <v>86400</v>
      </c>
      <c r="L11" s="1" t="s">
        <v>80</v>
      </c>
      <c r="M11" s="2" t="str">
        <f ca="1">IFERROR(IF(G11&gt;TODAY(),"0%",IF(TODAY()&gt;H11,"100%",(TODAY()-G11)/(G11-H11))),"-")</f>
        <v>100%</v>
      </c>
      <c r="N11" s="9">
        <f>VLOOKUP(E11,$T$2:$U$6,2,0)</f>
        <v>25</v>
      </c>
    </row>
    <row r="12" spans="1:21" ht="17.25" thickTop="1" thickBot="1" x14ac:dyDescent="0.3">
      <c r="A12" s="11" t="s">
        <v>70</v>
      </c>
      <c r="C12" s="1" t="s">
        <v>4</v>
      </c>
      <c r="D12" s="1" t="s">
        <v>13</v>
      </c>
      <c r="E12" s="3" t="s">
        <v>16</v>
      </c>
      <c r="F12" s="5">
        <v>44475</v>
      </c>
      <c r="G12" s="5">
        <v>44484</v>
      </c>
      <c r="H12" s="5">
        <v>44489</v>
      </c>
      <c r="I12" s="6">
        <f ca="1">DAY(J12)</f>
        <v>5</v>
      </c>
      <c r="J12" s="7">
        <f ca="1">IF(G12="",0,IF(H12="",(NOW()-G12),(H12-G12)))</f>
        <v>5</v>
      </c>
      <c r="K12" s="8">
        <f ca="1">J12*86400</f>
        <v>432000</v>
      </c>
      <c r="L12" s="1" t="s">
        <v>80</v>
      </c>
      <c r="M12" s="2" t="str">
        <f ca="1">IFERROR(IF(G12&gt;TODAY(),"0%",IF(TODAY()&gt;H12,"100%",(TODAY()-G12)/(G12-H12))),"-")</f>
        <v>100%</v>
      </c>
      <c r="N12" s="9">
        <f>VLOOKUP(E12,$T$2:$U$6,2,0)</f>
        <v>25</v>
      </c>
    </row>
    <row r="13" spans="1:21" ht="17.25" thickTop="1" thickBot="1" x14ac:dyDescent="0.3">
      <c r="A13" s="11" t="s">
        <v>73</v>
      </c>
      <c r="C13" s="1" t="s">
        <v>1</v>
      </c>
      <c r="D13" s="1" t="s">
        <v>11</v>
      </c>
      <c r="E13" s="3" t="s">
        <v>16</v>
      </c>
      <c r="F13" s="5">
        <v>44473</v>
      </c>
      <c r="G13" s="5">
        <v>44475</v>
      </c>
      <c r="H13" s="5">
        <v>44475</v>
      </c>
      <c r="I13" s="6">
        <f ca="1">DAY(J13)</f>
        <v>0</v>
      </c>
      <c r="J13" s="7">
        <f ca="1">IF(G13="",0,IF(H13="",(NOW()-G13),(H13-G13)))</f>
        <v>0</v>
      </c>
      <c r="K13" s="8">
        <f ca="1">J13*86400</f>
        <v>0</v>
      </c>
      <c r="L13" s="1" t="s">
        <v>71</v>
      </c>
      <c r="M13" s="2" t="str">
        <f ca="1">IFERROR(IF(G13&gt;TODAY(),"0%",IF(TODAY()&gt;H13,"100%",(TODAY()-G13)/(G13-H13))),"-")</f>
        <v>100%</v>
      </c>
      <c r="N13" s="9">
        <f>VLOOKUP(E13,$T$2:$U$6,2,0)</f>
        <v>25</v>
      </c>
    </row>
    <row r="14" spans="1:21" ht="17.25" thickTop="1" thickBot="1" x14ac:dyDescent="0.3">
      <c r="A14" s="11" t="s">
        <v>91</v>
      </c>
      <c r="C14" s="1" t="s">
        <v>85</v>
      </c>
      <c r="D14" s="1" t="s">
        <v>12</v>
      </c>
      <c r="E14" s="3" t="s">
        <v>15</v>
      </c>
      <c r="F14" s="5">
        <v>44721</v>
      </c>
      <c r="G14" s="5">
        <v>44722</v>
      </c>
      <c r="H14" s="5">
        <v>44729</v>
      </c>
      <c r="I14" s="6">
        <f ca="1">DAY(J14)</f>
        <v>7</v>
      </c>
      <c r="J14" s="7">
        <f ca="1">IF(G14="",0,IF(H14="",(NOW()-G14),(H14-G14)))</f>
        <v>7</v>
      </c>
      <c r="K14" s="8">
        <f ca="1">J14*86400</f>
        <v>604800</v>
      </c>
      <c r="L14" s="1" t="s">
        <v>71</v>
      </c>
      <c r="M14" s="2">
        <f ca="1">IFERROR(IF(G14&gt;TODAY(),"0%",IF(TODAY()&gt;H14,"100%",(TODAY()-G14)/(H14-G14))),"-")</f>
        <v>1</v>
      </c>
      <c r="N14" s="9">
        <f>VLOOKUP(E14,$T$2:$U$6,2,0)</f>
        <v>75</v>
      </c>
    </row>
    <row r="15" spans="1:21" ht="17.25" thickTop="1" thickBot="1" x14ac:dyDescent="0.3">
      <c r="A15" s="11" t="s">
        <v>94</v>
      </c>
      <c r="C15" s="1" t="s">
        <v>85</v>
      </c>
      <c r="D15" s="1" t="s">
        <v>11</v>
      </c>
      <c r="E15" s="3" t="s">
        <v>15</v>
      </c>
      <c r="F15" s="5">
        <v>44721</v>
      </c>
      <c r="G15" s="5">
        <v>44722</v>
      </c>
      <c r="H15" s="5">
        <v>44729</v>
      </c>
      <c r="I15" s="6">
        <f ca="1">DAY(J15)</f>
        <v>7</v>
      </c>
      <c r="J15" s="7">
        <f ca="1">IF(G15="",0,IF(H15="",(NOW()-G15),(H15-G15)))</f>
        <v>7</v>
      </c>
      <c r="K15" s="8">
        <f ca="1">J15*86400</f>
        <v>604800</v>
      </c>
      <c r="L15" s="1" t="s">
        <v>71</v>
      </c>
      <c r="M15" s="2">
        <f ca="1">IFERROR(IF(G15&gt;TODAY(),"0%",IF(TODAY()&gt;H15,"100%",(TODAY()-G15)/(H15-G15))),"-")</f>
        <v>1</v>
      </c>
      <c r="N15" s="9">
        <f>VLOOKUP(E15,$T$2:$U$6,2,0)</f>
        <v>75</v>
      </c>
    </row>
    <row r="16" spans="1:21" ht="17.25" thickTop="1" thickBot="1" x14ac:dyDescent="0.3">
      <c r="A16" s="10" t="s">
        <v>52</v>
      </c>
      <c r="B16" s="4"/>
      <c r="C16" s="1" t="s">
        <v>7</v>
      </c>
      <c r="D16" s="1" t="s">
        <v>13</v>
      </c>
      <c r="E16" s="3" t="s">
        <v>14</v>
      </c>
      <c r="F16" s="5">
        <v>44426</v>
      </c>
      <c r="G16" s="5">
        <v>44495</v>
      </c>
      <c r="H16" s="5"/>
      <c r="I16" s="6">
        <f ca="1">DAY(J16)</f>
        <v>21</v>
      </c>
      <c r="J16" s="7">
        <f ca="1">IF(G16="",0,IF(H16="",(NOW()-G16),(H16-G16)))</f>
        <v>234.38596921296266</v>
      </c>
      <c r="K16" s="8">
        <f ca="1">J16*86400</f>
        <v>20250947.739999972</v>
      </c>
      <c r="L16" s="1" t="s">
        <v>80</v>
      </c>
      <c r="M16" s="2" t="str">
        <f ca="1">IFERROR(IF(G16&gt;TODAY(),"0%",IF(TODAY()&gt;H16,"100%",(TODAY()-G16)/(G16-H16))),"-")</f>
        <v>100%</v>
      </c>
      <c r="N16" s="9">
        <f>VLOOKUP(E16,$T$2:$U$6,2,0)</f>
        <v>50</v>
      </c>
    </row>
    <row r="17" spans="1:14" ht="17.25" thickTop="1" thickBot="1" x14ac:dyDescent="0.3">
      <c r="A17" s="10" t="s">
        <v>51</v>
      </c>
      <c r="B17" s="4"/>
      <c r="C17" s="1" t="s">
        <v>19</v>
      </c>
      <c r="D17" s="1" t="s">
        <v>12</v>
      </c>
      <c r="E17" s="3" t="s">
        <v>15</v>
      </c>
      <c r="F17" s="5">
        <v>44378</v>
      </c>
      <c r="G17" s="5">
        <v>44409</v>
      </c>
      <c r="I17" s="6">
        <f ca="1">DAY(J17)</f>
        <v>15</v>
      </c>
      <c r="J17" s="7">
        <f ca="1">IF(G17="",0,IF(H17="",(NOW()-G17),(H17-G17)))</f>
        <v>320.38596921296266</v>
      </c>
      <c r="K17" s="8">
        <f ca="1">J17*86400</f>
        <v>27681347.739999972</v>
      </c>
      <c r="L17" s="1" t="s">
        <v>71</v>
      </c>
      <c r="M17" s="2" t="str">
        <f ca="1">IFERROR(IF(G17&gt;TODAY(),"0%",IF(TODAY()&gt;H17,"100%",(TODAY()-G17)/(G17-H17))),"-")</f>
        <v>100%</v>
      </c>
      <c r="N17" s="9">
        <f>VLOOKUP(E17,$T$2:$U$6,2,0)</f>
        <v>75</v>
      </c>
    </row>
    <row r="18" spans="1:14" ht="17.25" thickTop="1" thickBot="1" x14ac:dyDescent="0.3">
      <c r="A18" s="11" t="s">
        <v>78</v>
      </c>
      <c r="C18" s="1" t="s">
        <v>1</v>
      </c>
      <c r="D18" s="1" t="s">
        <v>12</v>
      </c>
      <c r="E18" s="3" t="s">
        <v>15</v>
      </c>
      <c r="F18" s="5">
        <v>44720</v>
      </c>
      <c r="G18" s="5">
        <v>44717</v>
      </c>
      <c r="H18" s="5">
        <v>44729</v>
      </c>
      <c r="I18" s="6">
        <f ca="1">DAY(J18)</f>
        <v>12</v>
      </c>
      <c r="J18" s="7">
        <f ca="1">IF(G18="",0,IF(H18="",(NOW()-G18),(H18-G18)))</f>
        <v>12</v>
      </c>
      <c r="K18" s="8">
        <f ca="1">J18*86400</f>
        <v>1036800</v>
      </c>
      <c r="L18" s="1" t="s">
        <v>71</v>
      </c>
      <c r="M18" s="2">
        <f ca="1">IFERROR(IF(G18&gt;TODAY(),"0%",IF(TODAY()&gt;H18,"100%",(TODAY()-G18)/(H18-G18))),"-")</f>
        <v>1</v>
      </c>
      <c r="N18" s="9">
        <f>VLOOKUP(E18,$T$2:$U$6,2,0)</f>
        <v>75</v>
      </c>
    </row>
    <row r="19" spans="1:14" ht="17.25" thickTop="1" thickBot="1" x14ac:dyDescent="0.3">
      <c r="A19" s="10" t="s">
        <v>72</v>
      </c>
      <c r="B19" s="4"/>
      <c r="C19" s="1" t="s">
        <v>1</v>
      </c>
      <c r="D19" s="1" t="s">
        <v>13</v>
      </c>
      <c r="E19" s="3" t="s">
        <v>14</v>
      </c>
      <c r="F19" s="5">
        <v>44464</v>
      </c>
      <c r="G19" s="5"/>
      <c r="I19" s="6">
        <f ca="1">DAY(J19)</f>
        <v>0</v>
      </c>
      <c r="J19" s="7">
        <f ca="1">IF(G19="",0,IF(H19="",(NOW()-G19),(H19-G19)))</f>
        <v>0</v>
      </c>
      <c r="K19" s="8">
        <f ca="1">J19*86400</f>
        <v>0</v>
      </c>
      <c r="L19" s="1" t="s">
        <v>71</v>
      </c>
      <c r="M19" s="2" t="str">
        <f ca="1">IFERROR(IF(G19&gt;TODAY(),"0%",IF(TODAY()&gt;H19,"100%",(TODAY()-G19)/(G19-H19))),"-")</f>
        <v>100%</v>
      </c>
      <c r="N19" s="9">
        <f>VLOOKUP(E19,$T$2:$U$6,2,0)</f>
        <v>50</v>
      </c>
    </row>
    <row r="20" spans="1:14" ht="17.25" thickTop="1" thickBot="1" x14ac:dyDescent="0.3">
      <c r="A20" s="10" t="s">
        <v>54</v>
      </c>
      <c r="B20" s="4"/>
      <c r="C20" s="1" t="s">
        <v>8</v>
      </c>
      <c r="D20" s="1" t="s">
        <v>13</v>
      </c>
      <c r="E20" s="3" t="s">
        <v>14</v>
      </c>
      <c r="F20" s="5">
        <v>44464</v>
      </c>
      <c r="G20" s="5"/>
      <c r="I20" s="6">
        <f ca="1">DAY(J20)</f>
        <v>0</v>
      </c>
      <c r="J20" s="7">
        <f ca="1">IF(G20="",0,IF(H20="",(NOW()-G20),(H20-G20)))</f>
        <v>0</v>
      </c>
      <c r="K20" s="8">
        <f ca="1">J20*86400</f>
        <v>0</v>
      </c>
      <c r="L20" s="1" t="s">
        <v>71</v>
      </c>
      <c r="M20" s="2" t="str">
        <f ca="1">IFERROR(IF(G20&gt;TODAY(),"0%",IF(TODAY()&gt;H20,"100%",(TODAY()-G20)/(G20-H20))),"-")</f>
        <v>100%</v>
      </c>
      <c r="N20" s="9">
        <f>VLOOKUP(E20,$T$2:$U$6,2,0)</f>
        <v>50</v>
      </c>
    </row>
    <row r="21" spans="1:14" ht="17.25" thickTop="1" thickBot="1" x14ac:dyDescent="0.3">
      <c r="A21" s="11" t="s">
        <v>39</v>
      </c>
      <c r="C21" s="1" t="s">
        <v>1</v>
      </c>
      <c r="D21" s="1" t="s">
        <v>11</v>
      </c>
      <c r="E21" s="3" t="s">
        <v>16</v>
      </c>
      <c r="F21" s="5">
        <v>44473</v>
      </c>
      <c r="G21" s="5"/>
      <c r="H21" s="5">
        <v>44473</v>
      </c>
      <c r="I21" s="6">
        <f ca="1">DAY(J21)</f>
        <v>0</v>
      </c>
      <c r="J21" s="7">
        <f ca="1">IF(G21="",0,IF(H21="",(NOW()-G21),(H21-G21)))</f>
        <v>0</v>
      </c>
      <c r="K21" s="8">
        <f ca="1">J21*86400</f>
        <v>0</v>
      </c>
      <c r="L21" s="1" t="s">
        <v>71</v>
      </c>
      <c r="M21" s="2" t="str">
        <f ca="1">IFERROR(IF(G21&gt;TODAY(),"0%",IF(TODAY()&gt;H21,"100%",(TODAY()-G21)/(G21-H21))),"-")</f>
        <v>100%</v>
      </c>
      <c r="N21" s="9">
        <f>VLOOKUP(E21,$T$2:$U$6,2,0)</f>
        <v>25</v>
      </c>
    </row>
    <row r="22" spans="1:14" ht="17.25" thickTop="1" thickBot="1" x14ac:dyDescent="0.3">
      <c r="A22" s="11" t="s">
        <v>95</v>
      </c>
      <c r="C22" s="1" t="s">
        <v>85</v>
      </c>
      <c r="D22" s="1" t="s">
        <v>12</v>
      </c>
      <c r="E22" s="3" t="s">
        <v>15</v>
      </c>
      <c r="F22" s="5">
        <v>44721</v>
      </c>
      <c r="G22" s="5">
        <v>44722</v>
      </c>
      <c r="H22" s="5">
        <v>44729</v>
      </c>
      <c r="I22" s="6">
        <f ca="1">DAY(J22)</f>
        <v>7</v>
      </c>
      <c r="J22" s="7">
        <f ca="1">IF(G22="",0,IF(H22="",(NOW()-G22),(H22-G22)))</f>
        <v>7</v>
      </c>
      <c r="K22" s="8">
        <f ca="1">J22*86400</f>
        <v>604800</v>
      </c>
      <c r="L22" s="1" t="s">
        <v>71</v>
      </c>
      <c r="M22" s="2">
        <f ca="1">IFERROR(IF(G22&gt;TODAY(),"0%",IF(TODAY()&gt;H22,"100%",(TODAY()-G22)/(H22-G22))),"-")</f>
        <v>1</v>
      </c>
      <c r="N22" s="9">
        <f>VLOOKUP(E22,$T$2:$U$6,2,0)</f>
        <v>75</v>
      </c>
    </row>
    <row r="23" spans="1:14" ht="17.25" thickTop="1" thickBot="1" x14ac:dyDescent="0.3">
      <c r="A23" s="11" t="s">
        <v>28</v>
      </c>
      <c r="C23" s="1" t="s">
        <v>4</v>
      </c>
      <c r="D23" s="1" t="s">
        <v>13</v>
      </c>
      <c r="E23" s="3" t="s">
        <v>14</v>
      </c>
      <c r="F23" s="5">
        <v>44466</v>
      </c>
      <c r="G23" s="5"/>
      <c r="I23" s="6">
        <f ca="1">DAY(J23)</f>
        <v>0</v>
      </c>
      <c r="J23" s="7">
        <f ca="1">IF(G23="",0,IF(H23="",(NOW()-G23),(H23-G23)))</f>
        <v>0</v>
      </c>
      <c r="K23" s="8">
        <f ca="1">J23*86400</f>
        <v>0</v>
      </c>
      <c r="L23" s="1" t="s">
        <v>71</v>
      </c>
      <c r="M23" s="2" t="str">
        <f ca="1">IFERROR(IF(G23&gt;TODAY(),"0%",IF(TODAY()&gt;H23,"100%",(TODAY()-G23)/(G23-H23))),"-")</f>
        <v>100%</v>
      </c>
      <c r="N23" s="9">
        <f>VLOOKUP(E23,$T$2:$U$6,2,0)</f>
        <v>50</v>
      </c>
    </row>
    <row r="24" spans="1:14" ht="17.25" thickTop="1" thickBot="1" x14ac:dyDescent="0.3">
      <c r="A24" s="11" t="s">
        <v>32</v>
      </c>
      <c r="C24" s="1" t="s">
        <v>1</v>
      </c>
      <c r="D24" s="1" t="s">
        <v>13</v>
      </c>
      <c r="E24" s="3" t="s">
        <v>14</v>
      </c>
      <c r="F24" s="5">
        <v>44464</v>
      </c>
      <c r="G24" s="5"/>
      <c r="I24" s="6">
        <f ca="1">DAY(J24)</f>
        <v>0</v>
      </c>
      <c r="J24" s="7">
        <f ca="1">IF(G24="",0,IF(H24="",(NOW()-G24),(H24-G24)))</f>
        <v>0</v>
      </c>
      <c r="K24" s="8">
        <f ca="1">J24*86400</f>
        <v>0</v>
      </c>
      <c r="L24" s="1" t="s">
        <v>71</v>
      </c>
      <c r="M24" s="2" t="str">
        <f ca="1">IFERROR(IF(G24&gt;TODAY(),"0%",IF(TODAY()&gt;H24,"100%",(TODAY()-G24)/(G24-H24))),"-")</f>
        <v>100%</v>
      </c>
      <c r="N24" s="9">
        <f>VLOOKUP(E24,$T$2:$U$6,2,0)</f>
        <v>50</v>
      </c>
    </row>
    <row r="25" spans="1:14" ht="17.25" thickTop="1" thickBot="1" x14ac:dyDescent="0.3">
      <c r="A25" s="11" t="s">
        <v>24</v>
      </c>
      <c r="C25" s="1" t="s">
        <v>1</v>
      </c>
      <c r="D25" s="1" t="s">
        <v>12</v>
      </c>
      <c r="E25" s="3" t="s">
        <v>17</v>
      </c>
      <c r="F25" s="5">
        <v>43831</v>
      </c>
      <c r="G25" s="5">
        <v>43831</v>
      </c>
      <c r="H25" s="5">
        <v>43831</v>
      </c>
      <c r="I25" s="6">
        <f ca="1">DAY(J25)</f>
        <v>0</v>
      </c>
      <c r="J25" s="7">
        <f ca="1">IF(G25="",0,IF(H25="",(NOW()-G25),(H25-G25)))</f>
        <v>0</v>
      </c>
      <c r="K25" s="8">
        <f ca="1">J25*86400</f>
        <v>0</v>
      </c>
      <c r="L25" s="1" t="s">
        <v>83</v>
      </c>
      <c r="M25" s="2" t="str">
        <f ca="1">IFERROR(IF(G25&gt;TODAY(),"0%",IF(TODAY()&gt;H25,"100%",(TODAY()-G25)/(G25-H25))),"-")</f>
        <v>100%</v>
      </c>
      <c r="N25" s="9">
        <f>VLOOKUP(E25,$T$2:$U$6,2,0)</f>
        <v>0</v>
      </c>
    </row>
    <row r="26" spans="1:14" ht="17.25" thickTop="1" thickBot="1" x14ac:dyDescent="0.3">
      <c r="A26" s="11" t="s">
        <v>88</v>
      </c>
      <c r="C26" s="1" t="s">
        <v>85</v>
      </c>
      <c r="D26" s="1" t="s">
        <v>11</v>
      </c>
      <c r="E26" s="3" t="s">
        <v>15</v>
      </c>
      <c r="F26" s="5">
        <v>44721</v>
      </c>
      <c r="G26" s="5">
        <v>44722</v>
      </c>
      <c r="H26" s="5">
        <v>44729</v>
      </c>
      <c r="I26" s="6">
        <f ca="1">DAY(J26)</f>
        <v>7</v>
      </c>
      <c r="J26" s="7">
        <f ca="1">IF(G26="",0,IF(H26="",(NOW()-G26),(H26-G26)))</f>
        <v>7</v>
      </c>
      <c r="K26" s="8">
        <f ca="1">J26*86400</f>
        <v>604800</v>
      </c>
      <c r="L26" s="1" t="s">
        <v>71</v>
      </c>
      <c r="M26" s="2">
        <f ca="1">IFERROR(IF(G26&gt;TODAY(),"0%",IF(TODAY()&gt;H26,"100%",(TODAY()-G26)/(H26-G26))),"-")</f>
        <v>1</v>
      </c>
      <c r="N26" s="9">
        <f>VLOOKUP(E26,$T$2:$U$6,2,0)</f>
        <v>75</v>
      </c>
    </row>
    <row r="27" spans="1:14" ht="17.25" thickTop="1" thickBot="1" x14ac:dyDescent="0.3">
      <c r="A27" s="11" t="s">
        <v>38</v>
      </c>
      <c r="C27" s="1" t="s">
        <v>1</v>
      </c>
      <c r="D27" s="1" t="s">
        <v>11</v>
      </c>
      <c r="E27" s="3" t="s">
        <v>16</v>
      </c>
      <c r="F27" s="5">
        <v>44473</v>
      </c>
      <c r="G27" s="5"/>
      <c r="H27" s="5">
        <v>44473</v>
      </c>
      <c r="I27" s="6">
        <f ca="1">DAY(J27)</f>
        <v>0</v>
      </c>
      <c r="J27" s="7">
        <f ca="1">IF(G27="",0,IF(H27="",(NOW()-G27),(H27-G27)))</f>
        <v>0</v>
      </c>
      <c r="K27" s="8">
        <f ca="1">J27*86400</f>
        <v>0</v>
      </c>
      <c r="L27" s="1" t="s">
        <v>83</v>
      </c>
      <c r="M27" s="2" t="str">
        <f ca="1">IFERROR(IF(G27&gt;TODAY(),"0%",IF(TODAY()&gt;H27,"100%",(TODAY()-G27)/(G27-H27))),"-")</f>
        <v>100%</v>
      </c>
      <c r="N27" s="9">
        <f>VLOOKUP(E27,$T$2:$U$6,2,0)</f>
        <v>25</v>
      </c>
    </row>
    <row r="28" spans="1:14" ht="17.25" thickTop="1" thickBot="1" x14ac:dyDescent="0.3">
      <c r="A28" s="11" t="s">
        <v>99</v>
      </c>
      <c r="C28" s="1" t="s">
        <v>85</v>
      </c>
      <c r="D28" s="1" t="s">
        <v>11</v>
      </c>
      <c r="E28" s="3" t="s">
        <v>15</v>
      </c>
      <c r="F28" s="5">
        <v>44721</v>
      </c>
      <c r="G28" s="5">
        <v>44722</v>
      </c>
      <c r="H28" s="5">
        <v>44729</v>
      </c>
      <c r="I28" s="6">
        <f ca="1">DAY(J28)</f>
        <v>7</v>
      </c>
      <c r="J28" s="7">
        <f ca="1">IF(G28="",0,IF(H28="",(NOW()-G28),(H28-G28)))</f>
        <v>7</v>
      </c>
      <c r="K28" s="8">
        <f ca="1">J28*86400</f>
        <v>604800</v>
      </c>
      <c r="L28" s="1" t="s">
        <v>71</v>
      </c>
      <c r="M28" s="2">
        <f ca="1">IFERROR(IF(G28&gt;TODAY(),"0%",IF(TODAY()&gt;H28,"100%",(TODAY()-G28)/(H28-G28))),"-")</f>
        <v>1</v>
      </c>
      <c r="N28" s="9">
        <f>VLOOKUP(E28,$T$2:$U$6,2,0)</f>
        <v>75</v>
      </c>
    </row>
    <row r="29" spans="1:14" ht="17.25" thickTop="1" thickBot="1" x14ac:dyDescent="0.3">
      <c r="A29" s="11" t="s">
        <v>87</v>
      </c>
      <c r="C29" s="1" t="s">
        <v>85</v>
      </c>
      <c r="D29" s="1" t="s">
        <v>11</v>
      </c>
      <c r="E29" s="3" t="s">
        <v>15</v>
      </c>
      <c r="F29" s="5">
        <v>44721</v>
      </c>
      <c r="G29" s="5">
        <v>44722</v>
      </c>
      <c r="H29" s="5">
        <v>44729</v>
      </c>
      <c r="I29" s="6">
        <f ca="1">DAY(J29)</f>
        <v>7</v>
      </c>
      <c r="J29" s="7">
        <f ca="1">IF(G29="",0,IF(H29="",(NOW()-G29),(H29-G29)))</f>
        <v>7</v>
      </c>
      <c r="K29" s="8">
        <f ca="1">J29*86400</f>
        <v>604800</v>
      </c>
      <c r="L29" s="1" t="s">
        <v>71</v>
      </c>
      <c r="M29" s="2">
        <f ca="1">IFERROR(IF(G29&gt;TODAY(),"0%",IF(TODAY()&gt;H29,"100%",(TODAY()-G29)/(H29-G29))),"-")</f>
        <v>1</v>
      </c>
      <c r="N29" s="9">
        <f>VLOOKUP(E29,$T$2:$U$6,2,0)</f>
        <v>75</v>
      </c>
    </row>
    <row r="30" spans="1:14" ht="17.25" thickTop="1" thickBot="1" x14ac:dyDescent="0.3">
      <c r="A30" s="11" t="s">
        <v>86</v>
      </c>
      <c r="C30" s="1" t="s">
        <v>85</v>
      </c>
      <c r="D30" s="1" t="s">
        <v>12</v>
      </c>
      <c r="E30" s="3" t="s">
        <v>15</v>
      </c>
      <c r="F30" s="5">
        <v>44721</v>
      </c>
      <c r="G30" s="5">
        <v>44722</v>
      </c>
      <c r="H30" s="5">
        <v>44729</v>
      </c>
      <c r="I30" s="6">
        <f ca="1">DAY(J30)</f>
        <v>7</v>
      </c>
      <c r="J30" s="7">
        <f ca="1">IF(G30="",0,IF(H30="",(NOW()-G30),(H30-G30)))</f>
        <v>7</v>
      </c>
      <c r="K30" s="8">
        <f ca="1">J30*86400</f>
        <v>604800</v>
      </c>
      <c r="L30" s="1" t="s">
        <v>71</v>
      </c>
      <c r="M30" s="2">
        <f ca="1">IFERROR(IF(G30&gt;TODAY(),"0%",IF(TODAY()&gt;H30,"100%",(TODAY()-G30)/(H30-G30))),"-")</f>
        <v>1</v>
      </c>
      <c r="N30" s="9">
        <f>VLOOKUP(E30,$T$2:$U$6,2,0)</f>
        <v>75</v>
      </c>
    </row>
    <row r="31" spans="1:14" ht="17.25" thickTop="1" thickBot="1" x14ac:dyDescent="0.3">
      <c r="A31" s="11" t="s">
        <v>89</v>
      </c>
      <c r="C31" s="1" t="s">
        <v>85</v>
      </c>
      <c r="D31" s="1" t="s">
        <v>13</v>
      </c>
      <c r="E31" s="3" t="s">
        <v>15</v>
      </c>
      <c r="F31" s="5">
        <v>44721</v>
      </c>
      <c r="G31" s="5">
        <v>44722</v>
      </c>
      <c r="H31" s="5">
        <v>44729</v>
      </c>
      <c r="I31" s="6">
        <f ca="1">DAY(J31)</f>
        <v>7</v>
      </c>
      <c r="J31" s="7">
        <f ca="1">IF(G31="",0,IF(H31="",(NOW()-G31),(H31-G31)))</f>
        <v>7</v>
      </c>
      <c r="K31" s="8">
        <f ca="1">J31*86400</f>
        <v>604800</v>
      </c>
      <c r="L31" s="1" t="s">
        <v>71</v>
      </c>
      <c r="M31" s="2">
        <f ca="1">IFERROR(IF(G31&gt;TODAY(),"0%",IF(TODAY()&gt;H31,"100%",(TODAY()-G31)/(H31-G31))),"-")</f>
        <v>1</v>
      </c>
      <c r="N31" s="9">
        <f>VLOOKUP(E31,$T$2:$U$6,2,0)</f>
        <v>75</v>
      </c>
    </row>
    <row r="32" spans="1:14" ht="17.25" thickTop="1" thickBot="1" x14ac:dyDescent="0.3">
      <c r="A32" s="11" t="s">
        <v>84</v>
      </c>
      <c r="C32" s="1" t="s">
        <v>85</v>
      </c>
      <c r="D32" s="1" t="s">
        <v>12</v>
      </c>
      <c r="E32" s="3" t="s">
        <v>15</v>
      </c>
      <c r="F32" s="5">
        <v>44721</v>
      </c>
      <c r="G32" s="5">
        <v>44722</v>
      </c>
      <c r="H32" s="5">
        <v>44729</v>
      </c>
      <c r="I32" s="6">
        <f ca="1">DAY(J32)</f>
        <v>7</v>
      </c>
      <c r="J32" s="7">
        <f ca="1">IF(G32="",0,IF(H32="",(NOW()-G32),(H32-G32)))</f>
        <v>7</v>
      </c>
      <c r="K32" s="8">
        <f ca="1">J32*86400</f>
        <v>604800</v>
      </c>
      <c r="L32" s="1" t="s">
        <v>71</v>
      </c>
      <c r="M32" s="2">
        <f ca="1">IFERROR(IF(G32&gt;TODAY(),"0%",IF(TODAY()&gt;H32,"100%",(TODAY()-G32)/(H32-G32))),"-")</f>
        <v>1</v>
      </c>
      <c r="N32" s="9">
        <f>VLOOKUP(E32,$T$2:$U$6,2,0)</f>
        <v>75</v>
      </c>
    </row>
    <row r="33" spans="1:14" ht="17.25" thickTop="1" thickBot="1" x14ac:dyDescent="0.3">
      <c r="A33" s="11" t="s">
        <v>26</v>
      </c>
      <c r="C33" s="1" t="s">
        <v>1</v>
      </c>
      <c r="D33" s="1" t="s">
        <v>12</v>
      </c>
      <c r="E33" s="3" t="s">
        <v>17</v>
      </c>
      <c r="F33" s="5">
        <v>43831</v>
      </c>
      <c r="G33" s="5">
        <v>43831</v>
      </c>
      <c r="H33" s="5">
        <v>43831</v>
      </c>
      <c r="I33" s="6">
        <f ca="1">DAY(J33)</f>
        <v>0</v>
      </c>
      <c r="J33" s="7">
        <f ca="1">IF(G33="",0,IF(H33="",(NOW()-G33),(H33-G33)))</f>
        <v>0</v>
      </c>
      <c r="K33" s="8">
        <f ca="1">J33*86400</f>
        <v>0</v>
      </c>
      <c r="L33" s="1" t="s">
        <v>83</v>
      </c>
      <c r="M33" s="2" t="str">
        <f ca="1">IFERROR(IF(G33&gt;TODAY(),"0%",IF(TODAY()&gt;H33,"100%",(TODAY()-G33)/(G33-H33))),"-")</f>
        <v>100%</v>
      </c>
      <c r="N33" s="9">
        <f>VLOOKUP(E33,$T$2:$U$6,2,0)</f>
        <v>0</v>
      </c>
    </row>
    <row r="34" spans="1:14" ht="17.25" thickTop="1" thickBot="1" x14ac:dyDescent="0.3">
      <c r="A34" s="11" t="s">
        <v>25</v>
      </c>
      <c r="C34" s="1" t="s">
        <v>1</v>
      </c>
      <c r="D34" s="1" t="s">
        <v>12</v>
      </c>
      <c r="E34" s="3" t="s">
        <v>17</v>
      </c>
      <c r="F34" s="5">
        <v>43831</v>
      </c>
      <c r="G34" s="5">
        <v>43831</v>
      </c>
      <c r="H34" s="5">
        <v>43831</v>
      </c>
      <c r="I34" s="6">
        <f ca="1">DAY(J34)</f>
        <v>0</v>
      </c>
      <c r="J34" s="7">
        <f ca="1">IF(G34="",0,IF(H34="",(NOW()-G34),(H34-G34)))</f>
        <v>0</v>
      </c>
      <c r="K34" s="8">
        <f ca="1">J34*86400</f>
        <v>0</v>
      </c>
      <c r="L34" s="1" t="s">
        <v>83</v>
      </c>
      <c r="M34" s="2" t="str">
        <f ca="1">IFERROR(IF(G34&gt;TODAY(),"0%",IF(TODAY()&gt;H34,"100%",(TODAY()-G34)/(G34-H34))),"-")</f>
        <v>100%</v>
      </c>
      <c r="N34" s="9">
        <f>VLOOKUP(E34,$T$2:$U$6,2,0)</f>
        <v>0</v>
      </c>
    </row>
    <row r="35" spans="1:14" ht="14.25" customHeight="1" thickTop="1" thickBot="1" x14ac:dyDescent="0.3">
      <c r="A35" s="11" t="s">
        <v>23</v>
      </c>
      <c r="C35" s="1" t="s">
        <v>1</v>
      </c>
      <c r="D35" s="1" t="s">
        <v>12</v>
      </c>
      <c r="E35" s="3" t="s">
        <v>17</v>
      </c>
      <c r="F35" s="5">
        <v>43831</v>
      </c>
      <c r="G35" s="5">
        <v>43831</v>
      </c>
      <c r="H35" s="5">
        <v>43831</v>
      </c>
      <c r="I35" s="6">
        <f ca="1">DAY(J35)</f>
        <v>0</v>
      </c>
      <c r="J35" s="7">
        <f ca="1">IF(G35="",0,IF(H35="",(NOW()-G35),(H35-G35)))</f>
        <v>0</v>
      </c>
      <c r="K35" s="8">
        <f ca="1">J35*86400</f>
        <v>0</v>
      </c>
      <c r="L35" s="1" t="s">
        <v>83</v>
      </c>
      <c r="M35" s="2" t="str">
        <f ca="1">IFERROR(IF(G35&gt;TODAY(),"0%",IF(TODAY()&gt;H35,"100%",(TODAY()-G35)/(G35-H35))),"-")</f>
        <v>100%</v>
      </c>
      <c r="N35" s="9">
        <f>VLOOKUP(E35,$T$2:$U$6,2,0)</f>
        <v>0</v>
      </c>
    </row>
    <row r="36" spans="1:14" ht="17.25" thickTop="1" thickBot="1" x14ac:dyDescent="0.3">
      <c r="A36" s="11" t="s">
        <v>22</v>
      </c>
      <c r="C36" s="1" t="s">
        <v>1</v>
      </c>
      <c r="D36" s="1" t="s">
        <v>12</v>
      </c>
      <c r="E36" s="3" t="s">
        <v>17</v>
      </c>
      <c r="F36" s="5">
        <v>43831</v>
      </c>
      <c r="G36" s="5">
        <v>43831</v>
      </c>
      <c r="H36" s="5">
        <v>43831</v>
      </c>
      <c r="I36" s="6">
        <f ca="1">DAY(J36)</f>
        <v>0</v>
      </c>
      <c r="J36" s="7">
        <f ca="1">IF(G36="",0,IF(H36="",(NOW()-G36),(H36-G36)))</f>
        <v>0</v>
      </c>
      <c r="K36" s="8">
        <f ca="1">J36*86400</f>
        <v>0</v>
      </c>
      <c r="L36" s="1" t="s">
        <v>71</v>
      </c>
      <c r="M36" s="2" t="str">
        <f ca="1">IFERROR(IF(G36&gt;TODAY(),"0%",IF(TODAY()&gt;H36,"100%",(TODAY()-G36)/(G36-H36))),"-")</f>
        <v>100%</v>
      </c>
      <c r="N36" s="9">
        <f>VLOOKUP(E36,$T$2:$U$6,2,0)</f>
        <v>0</v>
      </c>
    </row>
    <row r="37" spans="1:14" ht="17.25" thickTop="1" thickBot="1" x14ac:dyDescent="0.3">
      <c r="A37" s="11" t="s">
        <v>21</v>
      </c>
      <c r="C37" s="1" t="s">
        <v>1</v>
      </c>
      <c r="D37" s="1" t="s">
        <v>12</v>
      </c>
      <c r="E37" s="3" t="s">
        <v>17</v>
      </c>
      <c r="F37" s="5">
        <v>43831</v>
      </c>
      <c r="G37" s="5">
        <v>43831</v>
      </c>
      <c r="H37" s="5">
        <v>43831</v>
      </c>
      <c r="I37" s="6">
        <f ca="1">DAY(J37)</f>
        <v>0</v>
      </c>
      <c r="J37" s="7">
        <f ca="1">IF(G37="",0,IF(H37="",(NOW()-G37),(H37-G37)))</f>
        <v>0</v>
      </c>
      <c r="K37" s="8">
        <f ca="1">J37*86400</f>
        <v>0</v>
      </c>
      <c r="L37" s="1" t="s">
        <v>71</v>
      </c>
      <c r="M37" s="2" t="str">
        <f ca="1">IFERROR(IF(G37&gt;TODAY(),"0%",IF(TODAY()&gt;H37,"100%",(TODAY()-G37)/(G37-H37))),"-")</f>
        <v>100%</v>
      </c>
      <c r="N37" s="9">
        <f>VLOOKUP(E37,$T$2:$U$6,2,0)</f>
        <v>0</v>
      </c>
    </row>
    <row r="38" spans="1:14" ht="17.25" thickTop="1" thickBot="1" x14ac:dyDescent="0.3">
      <c r="A38" s="11" t="s">
        <v>92</v>
      </c>
      <c r="C38" s="1" t="s">
        <v>85</v>
      </c>
      <c r="D38" s="1" t="s">
        <v>11</v>
      </c>
      <c r="E38" s="3" t="s">
        <v>15</v>
      </c>
      <c r="F38" s="5">
        <v>44721</v>
      </c>
      <c r="G38" s="5">
        <v>44722</v>
      </c>
      <c r="H38" s="5">
        <v>44729</v>
      </c>
      <c r="I38" s="6">
        <f ca="1">DAY(J38)</f>
        <v>7</v>
      </c>
      <c r="J38" s="7">
        <f ca="1">IF(G38="",0,IF(H38="",(NOW()-G38),(H38-G38)))</f>
        <v>7</v>
      </c>
      <c r="K38" s="8">
        <f ca="1">J38*86400</f>
        <v>604800</v>
      </c>
      <c r="L38" s="1" t="s">
        <v>71</v>
      </c>
      <c r="M38" s="2">
        <f ca="1">IFERROR(IF(G38&gt;TODAY(),"0%",IF(TODAY()&gt;H38,"100%",(TODAY()-G38)/(H38-G38))),"-")</f>
        <v>1</v>
      </c>
      <c r="N38" s="9">
        <f>VLOOKUP(E38,$T$2:$U$6,2,0)</f>
        <v>75</v>
      </c>
    </row>
    <row r="39" spans="1:14" ht="17.25" thickTop="1" thickBot="1" x14ac:dyDescent="0.3">
      <c r="A39" s="11" t="s">
        <v>93</v>
      </c>
      <c r="C39" s="1" t="s">
        <v>85</v>
      </c>
      <c r="D39" s="1" t="s">
        <v>11</v>
      </c>
      <c r="E39" s="3" t="s">
        <v>15</v>
      </c>
      <c r="F39" s="5">
        <v>44721</v>
      </c>
      <c r="G39" s="5">
        <v>44722</v>
      </c>
      <c r="H39" s="5">
        <v>44729</v>
      </c>
      <c r="I39" s="6">
        <f ca="1">DAY(J39)</f>
        <v>7</v>
      </c>
      <c r="J39" s="7">
        <f ca="1">IF(G39="",0,IF(H39="",(NOW()-G39),(H39-G39)))</f>
        <v>7</v>
      </c>
      <c r="K39" s="8">
        <f ca="1">J39*86400</f>
        <v>604800</v>
      </c>
      <c r="L39" s="1" t="s">
        <v>71</v>
      </c>
      <c r="M39" s="2">
        <f ca="1">IFERROR(IF(G39&gt;TODAY(),"0%",IF(TODAY()&gt;H39,"100%",(TODAY()-G39)/(H39-G39))),"-")</f>
        <v>1</v>
      </c>
      <c r="N39" s="9">
        <f>VLOOKUP(E39,$T$2:$U$6,2,0)</f>
        <v>75</v>
      </c>
    </row>
    <row r="40" spans="1:14" ht="17.25" thickTop="1" thickBot="1" x14ac:dyDescent="0.3">
      <c r="A40" s="10" t="s">
        <v>50</v>
      </c>
      <c r="B40" s="4"/>
      <c r="C40" s="1" t="s">
        <v>18</v>
      </c>
      <c r="D40" s="1" t="s">
        <v>12</v>
      </c>
      <c r="E40" s="3" t="s">
        <v>15</v>
      </c>
      <c r="F40" s="5">
        <v>44399</v>
      </c>
      <c r="G40" s="5">
        <v>44466</v>
      </c>
      <c r="I40" s="6">
        <f ca="1">DAY(J40)</f>
        <v>19</v>
      </c>
      <c r="J40" s="7">
        <f ca="1">IF(G40="",0,IF(H40="",(NOW()-G40),(H40-G40)))</f>
        <v>263.38596921296266</v>
      </c>
      <c r="K40" s="8">
        <f ca="1">J40*86400</f>
        <v>22756547.739999972</v>
      </c>
      <c r="L40" s="1" t="s">
        <v>71</v>
      </c>
      <c r="M40" s="2" t="str">
        <f ca="1">IFERROR(IF(G40&gt;TODAY(),"0%",IF(TODAY()&gt;H40,"100%",(TODAY()-G40)/(G40-H40))),"-")</f>
        <v>100%</v>
      </c>
      <c r="N40" s="9">
        <f>VLOOKUP(E40,$T$2:$U$6,2,0)</f>
        <v>75</v>
      </c>
    </row>
    <row r="41" spans="1:14" ht="17.25" thickTop="1" thickBot="1" x14ac:dyDescent="0.3">
      <c r="A41" s="10" t="s">
        <v>57</v>
      </c>
      <c r="B41" s="4"/>
      <c r="C41" s="1" t="s">
        <v>7</v>
      </c>
      <c r="D41" s="1" t="s">
        <v>13</v>
      </c>
      <c r="E41" s="3" t="s">
        <v>14</v>
      </c>
      <c r="F41" s="5">
        <v>44426</v>
      </c>
      <c r="G41" s="5"/>
      <c r="I41" s="6">
        <f ca="1">DAY(J41)</f>
        <v>0</v>
      </c>
      <c r="J41" s="7">
        <f ca="1">IF(G41="",0,IF(H41="",(NOW()-G41),(H41-G41)))</f>
        <v>0</v>
      </c>
      <c r="K41" s="8">
        <f ca="1">J41*86400</f>
        <v>0</v>
      </c>
      <c r="L41" s="1" t="s">
        <v>80</v>
      </c>
      <c r="M41" s="2" t="str">
        <f ca="1">IFERROR(IF(G41&gt;TODAY(),"0%",IF(TODAY()&gt;H41,"100%",(TODAY()-G41)/(G41-H41))),"-")</f>
        <v>100%</v>
      </c>
      <c r="N41" s="9">
        <f>VLOOKUP(E41,$T$2:$U$6,2,0)</f>
        <v>50</v>
      </c>
    </row>
    <row r="42" spans="1:14" ht="17.25" thickTop="1" thickBot="1" x14ac:dyDescent="0.3">
      <c r="A42" s="11" t="s">
        <v>74</v>
      </c>
      <c r="C42" s="1" t="s">
        <v>1</v>
      </c>
      <c r="D42" s="1" t="s">
        <v>13</v>
      </c>
      <c r="E42" s="3" t="s">
        <v>14</v>
      </c>
      <c r="F42" s="5">
        <v>44470</v>
      </c>
      <c r="I42" s="6">
        <f ca="1">DAY(J42)</f>
        <v>0</v>
      </c>
      <c r="J42" s="7">
        <f ca="1">IF(G42="",0,IF(H42="",(NOW()-G42),(H42-G42)))</f>
        <v>0</v>
      </c>
      <c r="K42" s="8">
        <f ca="1">J42*86400</f>
        <v>0</v>
      </c>
      <c r="L42" s="1" t="s">
        <v>71</v>
      </c>
      <c r="M42" s="2" t="str">
        <f ca="1">IFERROR(IF(G42&gt;TODAY(),"0%",IF(TODAY()&gt;H42,"100%",(TODAY()-G42)/(G42-H42))),"-")</f>
        <v>100%</v>
      </c>
      <c r="N42" s="9">
        <f>VLOOKUP(E42,$T$2:$U$6,2,0)</f>
        <v>50</v>
      </c>
    </row>
    <row r="43" spans="1:14" ht="17.25" thickTop="1" thickBot="1" x14ac:dyDescent="0.3">
      <c r="A43" s="11" t="s">
        <v>65</v>
      </c>
      <c r="C43" s="1" t="s">
        <v>2</v>
      </c>
      <c r="D43" s="1" t="s">
        <v>11</v>
      </c>
      <c r="E43" s="3" t="s">
        <v>16</v>
      </c>
      <c r="F43" s="5">
        <v>44473</v>
      </c>
      <c r="G43" s="5">
        <v>44522</v>
      </c>
      <c r="H43" s="5">
        <v>44523</v>
      </c>
      <c r="I43" s="6">
        <f ca="1">DAY(J43)</f>
        <v>1</v>
      </c>
      <c r="J43" s="7">
        <f ca="1">IF(G43="",0,IF(H43="",(NOW()-G43),(H43-G43)))</f>
        <v>1</v>
      </c>
      <c r="K43" s="8">
        <f ca="1">J43*86400</f>
        <v>86400</v>
      </c>
      <c r="L43" s="1" t="s">
        <v>80</v>
      </c>
      <c r="M43" s="2" t="str">
        <f ca="1">IFERROR(IF(G43&gt;TODAY(),"0%",IF(TODAY()&gt;H43,"100%",(TODAY()-G43)/(G43-H43))),"-")</f>
        <v>100%</v>
      </c>
      <c r="N43" s="9">
        <f>VLOOKUP(E43,$T$2:$U$6,2,0)</f>
        <v>25</v>
      </c>
    </row>
    <row r="44" spans="1:14" ht="17.25" thickTop="1" thickBot="1" x14ac:dyDescent="0.3">
      <c r="A44" s="10" t="s">
        <v>56</v>
      </c>
      <c r="B44" s="4"/>
      <c r="C44" s="1" t="s">
        <v>7</v>
      </c>
      <c r="D44" s="1" t="s">
        <v>13</v>
      </c>
      <c r="E44" s="3" t="s">
        <v>14</v>
      </c>
      <c r="F44" s="5">
        <v>44426</v>
      </c>
      <c r="G44" s="5"/>
      <c r="I44" s="6">
        <f ca="1">DAY(J44)</f>
        <v>0</v>
      </c>
      <c r="J44" s="7">
        <f ca="1">IF(G44="",0,IF(H44="",(NOW()-G44),(H44-G44)))</f>
        <v>0</v>
      </c>
      <c r="K44" s="8">
        <f ca="1">J44*86400</f>
        <v>0</v>
      </c>
      <c r="L44" s="1" t="s">
        <v>80</v>
      </c>
      <c r="M44" s="2" t="str">
        <f ca="1">IFERROR(IF(G44&gt;TODAY(),"0%",IF(TODAY()&gt;H44,"100%",(TODAY()-G44)/(G44-H44))),"-")</f>
        <v>100%</v>
      </c>
      <c r="N44" s="9">
        <f>VLOOKUP(E44,$T$2:$U$6,2,0)</f>
        <v>50</v>
      </c>
    </row>
    <row r="45" spans="1:14" ht="17.25" thickTop="1" thickBot="1" x14ac:dyDescent="0.3">
      <c r="A45" s="11" t="s">
        <v>76</v>
      </c>
      <c r="C45" s="1" t="s">
        <v>5</v>
      </c>
      <c r="E45" s="3" t="s">
        <v>14</v>
      </c>
      <c r="I45" s="1"/>
      <c r="J45" s="7">
        <f ca="1">IF(G45="",0,IF(H45="",(NOW()-G45),(H45-G45)))</f>
        <v>0</v>
      </c>
      <c r="K45" s="8">
        <f ca="1">J45*86400</f>
        <v>0</v>
      </c>
      <c r="L45" s="1" t="s">
        <v>71</v>
      </c>
      <c r="M45" s="2" t="str">
        <f ca="1">IFERROR(IF(G45&gt;TODAY(),"0%",IF(TODAY()&gt;H45,"100%",(TODAY()-G45)/(G45-H45))),"-")</f>
        <v>100%</v>
      </c>
      <c r="N45" s="9">
        <f>VLOOKUP(E45,$T$2:$U$6,2,0)</f>
        <v>50</v>
      </c>
    </row>
    <row r="46" spans="1:14" ht="17.25" thickTop="1" thickBot="1" x14ac:dyDescent="0.3">
      <c r="A46" s="11" t="s">
        <v>43</v>
      </c>
      <c r="C46" s="1" t="s">
        <v>1</v>
      </c>
      <c r="D46" s="1" t="s">
        <v>11</v>
      </c>
      <c r="E46" s="3" t="s">
        <v>16</v>
      </c>
      <c r="F46" s="5">
        <v>44466</v>
      </c>
      <c r="G46" s="5">
        <v>44466</v>
      </c>
      <c r="H46" s="5">
        <v>44467</v>
      </c>
      <c r="I46" s="6">
        <f ca="1">DAY(J46)</f>
        <v>1</v>
      </c>
      <c r="J46" s="7">
        <f ca="1">IF(G46="",0,IF(H46="",(NOW()-G46),(H46-G46)))</f>
        <v>1</v>
      </c>
      <c r="K46" s="8">
        <f ca="1">J46*86400</f>
        <v>86400</v>
      </c>
      <c r="L46" s="1" t="s">
        <v>80</v>
      </c>
      <c r="M46" s="2" t="str">
        <f ca="1">IFERROR(IF(G46&gt;TODAY(),"0%",IF(TODAY()&gt;H46,"100%",(TODAY()-G46)/(G46-H46))),"-")</f>
        <v>100%</v>
      </c>
      <c r="N46" s="9">
        <f>VLOOKUP(E46,$T$2:$U$6,2,0)</f>
        <v>25</v>
      </c>
    </row>
    <row r="47" spans="1:14" ht="17.25" thickTop="1" thickBot="1" x14ac:dyDescent="0.3">
      <c r="A47" s="11" t="s">
        <v>64</v>
      </c>
      <c r="C47" s="1" t="s">
        <v>4</v>
      </c>
      <c r="D47" s="1" t="s">
        <v>12</v>
      </c>
      <c r="E47" s="3" t="s">
        <v>16</v>
      </c>
      <c r="F47" s="5">
        <v>44466</v>
      </c>
      <c r="G47" s="5">
        <v>44466</v>
      </c>
      <c r="H47" s="5">
        <v>44468</v>
      </c>
      <c r="I47" s="6">
        <f ca="1">DAY(J47)</f>
        <v>2</v>
      </c>
      <c r="J47" s="7">
        <f ca="1">IF(G47="",0,IF(H47="",(NOW()-G47),(H47-G47)))</f>
        <v>2</v>
      </c>
      <c r="K47" s="8">
        <f ca="1">J47*86400</f>
        <v>172800</v>
      </c>
      <c r="L47" s="1" t="s">
        <v>71</v>
      </c>
      <c r="M47" s="2" t="str">
        <f ca="1">IFERROR(IF(G47&gt;TODAY(),"0%",IF(TODAY()&gt;H47,"100%",(TODAY()-G47)/(G47-H47))),"-")</f>
        <v>100%</v>
      </c>
      <c r="N47" s="9">
        <f>VLOOKUP(E47,$T$2:$U$6,2,0)</f>
        <v>25</v>
      </c>
    </row>
    <row r="48" spans="1:14" ht="17.25" thickTop="1" thickBot="1" x14ac:dyDescent="0.3">
      <c r="A48" s="11" t="s">
        <v>20</v>
      </c>
      <c r="C48" s="1" t="s">
        <v>6</v>
      </c>
      <c r="D48" s="1" t="s">
        <v>12</v>
      </c>
      <c r="E48" s="3" t="s">
        <v>16</v>
      </c>
      <c r="F48" s="5">
        <v>44464</v>
      </c>
      <c r="G48" s="5">
        <v>44467</v>
      </c>
      <c r="H48" s="5">
        <v>44477</v>
      </c>
      <c r="I48" s="6">
        <f ca="1">DAY(J48)</f>
        <v>10</v>
      </c>
      <c r="J48" s="7">
        <f ca="1">IF(G48="",0,IF(H48="",(NOW()-G48),(H48-G48)))</f>
        <v>10</v>
      </c>
      <c r="K48" s="8">
        <f ca="1">J48*86400</f>
        <v>864000</v>
      </c>
      <c r="L48" s="1" t="s">
        <v>83</v>
      </c>
      <c r="M48" s="2" t="str">
        <f ca="1">IFERROR(IF(G48&gt;TODAY(),"0%",IF(TODAY()&gt;H48,"100%",(TODAY()-G48)/(G48-H48))),"-")</f>
        <v>100%</v>
      </c>
      <c r="N48" s="9">
        <f>VLOOKUP(E48,$T$2:$U$6,2,0)</f>
        <v>25</v>
      </c>
    </row>
    <row r="49" spans="1:14" ht="17.25" thickTop="1" thickBot="1" x14ac:dyDescent="0.3">
      <c r="A49" s="11" t="s">
        <v>42</v>
      </c>
      <c r="C49" s="1" t="s">
        <v>1</v>
      </c>
      <c r="D49" s="1" t="s">
        <v>11</v>
      </c>
      <c r="E49" s="3" t="s">
        <v>15</v>
      </c>
      <c r="F49" s="5">
        <v>44464</v>
      </c>
      <c r="G49" s="5">
        <v>44532</v>
      </c>
      <c r="I49" s="6">
        <f ca="1">DAY(J49)</f>
        <v>15</v>
      </c>
      <c r="J49" s="7">
        <f ca="1">IF(G49="",0,IF(H49="",(NOW()-G49),(H49-G49)))</f>
        <v>197.38596921296266</v>
      </c>
      <c r="K49" s="8">
        <f ca="1">J49*86400</f>
        <v>17054147.739999972</v>
      </c>
      <c r="L49" s="1" t="s">
        <v>71</v>
      </c>
      <c r="M49" s="2" t="str">
        <f ca="1">IFERROR(IF(G49&gt;TODAY(),"0%",IF(TODAY()&gt;H49,"100%",(TODAY()-G49)/(G49-H49))),"-")</f>
        <v>100%</v>
      </c>
      <c r="N49" s="9">
        <f>VLOOKUP(E49,$T$2:$U$6,2,0)</f>
        <v>75</v>
      </c>
    </row>
    <row r="50" spans="1:14" ht="17.25" thickTop="1" thickBot="1" x14ac:dyDescent="0.3">
      <c r="A50" s="11" t="s">
        <v>35</v>
      </c>
      <c r="C50" s="1" t="s">
        <v>5</v>
      </c>
      <c r="D50" s="1" t="s">
        <v>12</v>
      </c>
      <c r="E50" s="3" t="s">
        <v>14</v>
      </c>
      <c r="F50" s="5">
        <v>44413</v>
      </c>
      <c r="G50" s="5"/>
      <c r="I50" s="6">
        <f ca="1">DAY(J50)</f>
        <v>0</v>
      </c>
      <c r="J50" s="7">
        <f ca="1">IF(G50="",0,IF(H50="",(NOW()-G50),(H50-G50)))</f>
        <v>0</v>
      </c>
      <c r="K50" s="8">
        <f ca="1">J50*86400</f>
        <v>0</v>
      </c>
      <c r="L50" s="1" t="s">
        <v>71</v>
      </c>
      <c r="M50" s="2" t="str">
        <f ca="1">IFERROR(IF(G50&gt;TODAY(),"0%",IF(TODAY()&gt;H50,"100%",(TODAY()-G50)/(G50-H50))),"-")</f>
        <v>100%</v>
      </c>
      <c r="N50" s="9">
        <f>VLOOKUP(E50,$T$2:$U$6,2,0)</f>
        <v>50</v>
      </c>
    </row>
    <row r="51" spans="1:14" ht="17.25" thickTop="1" thickBot="1" x14ac:dyDescent="0.3">
      <c r="A51" s="11" t="s">
        <v>41</v>
      </c>
      <c r="C51" s="1" t="s">
        <v>1</v>
      </c>
      <c r="D51" s="1" t="s">
        <v>11</v>
      </c>
      <c r="E51" s="3" t="s">
        <v>15</v>
      </c>
      <c r="F51" s="5">
        <v>44464</v>
      </c>
      <c r="G51" s="5">
        <v>44466</v>
      </c>
      <c r="I51" s="6">
        <f ca="1">DAY(J51)</f>
        <v>19</v>
      </c>
      <c r="J51" s="7">
        <f ca="1">IF(G51="",0,IF(H51="",(NOW()-G51),(H51-G51)))</f>
        <v>263.38596921296266</v>
      </c>
      <c r="K51" s="8">
        <f ca="1">J51*86400</f>
        <v>22756547.739999972</v>
      </c>
      <c r="L51" s="1" t="s">
        <v>71</v>
      </c>
      <c r="M51" s="2" t="str">
        <f ca="1">IFERROR(IF(G51&gt;TODAY(),"0%",IF(TODAY()&gt;H51,"100%",(TODAY()-G51)/(G51-H51))),"-")</f>
        <v>100%</v>
      </c>
      <c r="N51" s="9">
        <f>VLOOKUP(E51,$T$2:$U$6,2,0)</f>
        <v>75</v>
      </c>
    </row>
    <row r="52" spans="1:14" ht="17.25" thickTop="1" thickBot="1" x14ac:dyDescent="0.3">
      <c r="A52" s="11" t="s">
        <v>98</v>
      </c>
      <c r="C52" s="1" t="s">
        <v>85</v>
      </c>
      <c r="D52" s="1" t="s">
        <v>12</v>
      </c>
      <c r="E52" s="3" t="s">
        <v>15</v>
      </c>
      <c r="F52" s="5">
        <v>44721</v>
      </c>
      <c r="G52" s="5">
        <v>44722</v>
      </c>
      <c r="H52" s="5">
        <v>44729</v>
      </c>
      <c r="I52" s="6">
        <f ca="1">DAY(J52)</f>
        <v>7</v>
      </c>
      <c r="J52" s="7">
        <f ca="1">IF(G52="",0,IF(H52="",(NOW()-G52),(H52-G52)))</f>
        <v>7</v>
      </c>
      <c r="K52" s="8">
        <f ca="1">J52*86400</f>
        <v>604800</v>
      </c>
      <c r="L52" s="1" t="s">
        <v>71</v>
      </c>
      <c r="M52" s="2">
        <f ca="1">IFERROR(IF(G52&gt;TODAY(),"0%",IF(TODAY()&gt;H52,"100%",(TODAY()-G52)/(H52-G52))),"-")</f>
        <v>1</v>
      </c>
      <c r="N52" s="9">
        <f>VLOOKUP(E52,$T$2:$U$6,2,0)</f>
        <v>75</v>
      </c>
    </row>
    <row r="53" spans="1:14" ht="17.25" thickTop="1" thickBot="1" x14ac:dyDescent="0.3">
      <c r="A53" s="11" t="s">
        <v>31</v>
      </c>
      <c r="C53" s="1" t="s">
        <v>1</v>
      </c>
      <c r="D53" s="1" t="s">
        <v>13</v>
      </c>
      <c r="E53" s="3" t="s">
        <v>14</v>
      </c>
      <c r="F53" s="5">
        <v>44464</v>
      </c>
      <c r="G53" s="5"/>
      <c r="H53" s="5"/>
      <c r="I53" s="6">
        <f ca="1">DAY(J53)</f>
        <v>0</v>
      </c>
      <c r="J53" s="7">
        <f ca="1">IF(G53="",0,IF(H53="",(NOW()-G53),(H53-G53)))</f>
        <v>0</v>
      </c>
      <c r="K53" s="8">
        <f ca="1">J53*86400</f>
        <v>0</v>
      </c>
      <c r="L53" s="1" t="s">
        <v>71</v>
      </c>
      <c r="M53" s="2" t="str">
        <f ca="1">IFERROR(IF(G53&gt;TODAY(),"0%",IF(TODAY()&gt;H53,"100%",(TODAY()-G53)/(G53-H53))),"-")</f>
        <v>100%</v>
      </c>
      <c r="N53" s="9">
        <f>VLOOKUP(E53,$T$2:$U$6,2,0)</f>
        <v>50</v>
      </c>
    </row>
    <row r="54" spans="1:14" ht="17.25" thickTop="1" thickBot="1" x14ac:dyDescent="0.3">
      <c r="A54" s="11" t="s">
        <v>30</v>
      </c>
      <c r="C54" s="1" t="s">
        <v>1</v>
      </c>
      <c r="D54" s="1" t="s">
        <v>13</v>
      </c>
      <c r="E54" s="3" t="s">
        <v>16</v>
      </c>
      <c r="F54" s="5">
        <v>44464</v>
      </c>
      <c r="G54" s="5">
        <v>44468</v>
      </c>
      <c r="H54" s="5">
        <v>44473</v>
      </c>
      <c r="I54" s="6">
        <f ca="1">DAY(J54)</f>
        <v>5</v>
      </c>
      <c r="J54" s="7">
        <f ca="1">IF(G54="",0,IF(H54="",(NOW()-G54),(H54-G54)))</f>
        <v>5</v>
      </c>
      <c r="K54" s="8">
        <f ca="1">J54*86400</f>
        <v>432000</v>
      </c>
      <c r="L54" s="1" t="s">
        <v>71</v>
      </c>
      <c r="M54" s="2" t="str">
        <f ca="1">IFERROR(IF(G54&gt;TODAY(),"0%",IF(TODAY()&gt;H54,"100%",(TODAY()-G54)/(G54-H54))),"-")</f>
        <v>100%</v>
      </c>
      <c r="N54" s="9">
        <f>VLOOKUP(E54,$T$2:$U$6,2,0)</f>
        <v>25</v>
      </c>
    </row>
    <row r="55" spans="1:14" ht="17.25" thickTop="1" thickBot="1" x14ac:dyDescent="0.3">
      <c r="A55" s="11" t="s">
        <v>96</v>
      </c>
      <c r="C55" s="1" t="s">
        <v>85</v>
      </c>
      <c r="D55" s="1" t="s">
        <v>11</v>
      </c>
      <c r="E55" s="3" t="s">
        <v>15</v>
      </c>
      <c r="F55" s="5">
        <v>44721</v>
      </c>
      <c r="G55" s="5">
        <v>44722</v>
      </c>
      <c r="H55" s="5">
        <v>44729</v>
      </c>
      <c r="I55" s="6">
        <f ca="1">DAY(J55)</f>
        <v>7</v>
      </c>
      <c r="J55" s="7">
        <f ca="1">IF(G55="",0,IF(H55="",(NOW()-G55),(H55-G55)))</f>
        <v>7</v>
      </c>
      <c r="K55" s="8">
        <f ca="1">J55*86400</f>
        <v>604800</v>
      </c>
      <c r="L55" s="1" t="s">
        <v>71</v>
      </c>
      <c r="M55" s="2">
        <f ca="1">IFERROR(IF(G55&gt;TODAY(),"0%",IF(TODAY()&gt;H55,"100%",(TODAY()-G55)/(H55-G55))),"-")</f>
        <v>1</v>
      </c>
      <c r="N55" s="9">
        <f>VLOOKUP(E55,$T$2:$U$6,2,0)</f>
        <v>75</v>
      </c>
    </row>
    <row r="56" spans="1:14" ht="17.25" thickTop="1" thickBot="1" x14ac:dyDescent="0.3">
      <c r="A56" s="11" t="s">
        <v>90</v>
      </c>
      <c r="C56" s="1" t="s">
        <v>85</v>
      </c>
      <c r="D56" s="1" t="s">
        <v>11</v>
      </c>
      <c r="E56" s="3" t="s">
        <v>15</v>
      </c>
      <c r="F56" s="5">
        <v>44721</v>
      </c>
      <c r="G56" s="5">
        <v>44722</v>
      </c>
      <c r="H56" s="5">
        <v>44729</v>
      </c>
      <c r="I56" s="6">
        <f ca="1">DAY(J56)</f>
        <v>7</v>
      </c>
      <c r="J56" s="7">
        <f ca="1">IF(G56="",0,IF(H56="",(NOW()-G56),(H56-G56)))</f>
        <v>7</v>
      </c>
      <c r="K56" s="8">
        <f ca="1">J56*86400</f>
        <v>604800</v>
      </c>
      <c r="L56" s="1" t="s">
        <v>71</v>
      </c>
      <c r="M56" s="2">
        <f ca="1">IFERROR(IF(G56&gt;TODAY(),"0%",IF(TODAY()&gt;H56,"100%",(TODAY()-G56)/(H56-G56))),"-")</f>
        <v>1</v>
      </c>
      <c r="N56" s="9">
        <f>VLOOKUP(E56,$T$2:$U$6,2,0)</f>
        <v>75</v>
      </c>
    </row>
    <row r="57" spans="1:14" ht="17.25" thickTop="1" thickBot="1" x14ac:dyDescent="0.3">
      <c r="A57" s="11" t="s">
        <v>27</v>
      </c>
      <c r="C57" s="1" t="s">
        <v>1</v>
      </c>
      <c r="D57" s="1" t="s">
        <v>12</v>
      </c>
      <c r="E57" s="3" t="s">
        <v>15</v>
      </c>
      <c r="F57" s="5">
        <v>44464</v>
      </c>
      <c r="G57" s="5">
        <v>44468</v>
      </c>
      <c r="I57" s="6">
        <f ca="1">DAY(J57)</f>
        <v>17</v>
      </c>
      <c r="J57" s="7">
        <f ca="1">IF(G57="",0,IF(H57="",(NOW()-G57),(H57-G57)))</f>
        <v>261.38596921296266</v>
      </c>
      <c r="K57" s="8">
        <f ca="1">J57*86400</f>
        <v>22583747.739999972</v>
      </c>
      <c r="L57" s="1" t="s">
        <v>71</v>
      </c>
      <c r="M57" s="2" t="str">
        <f ca="1">IFERROR(IF(G57&gt;TODAY(),"0%",IF(TODAY()&gt;H57,"100%",(TODAY()-G57)/(G57-H57))),"-")</f>
        <v>100%</v>
      </c>
      <c r="N57" s="9">
        <f>VLOOKUP(E57,$T$2:$U$6,2,0)</f>
        <v>75</v>
      </c>
    </row>
    <row r="58" spans="1:14" ht="17.25" thickTop="1" thickBot="1" x14ac:dyDescent="0.3">
      <c r="A58" s="11" t="s">
        <v>33</v>
      </c>
      <c r="C58" s="1" t="s">
        <v>2</v>
      </c>
      <c r="D58" s="1" t="s">
        <v>11</v>
      </c>
      <c r="E58" s="3" t="s">
        <v>17</v>
      </c>
      <c r="F58" s="5">
        <v>44409</v>
      </c>
      <c r="G58" s="5">
        <v>44409</v>
      </c>
      <c r="H58" s="5">
        <v>44409</v>
      </c>
      <c r="I58" s="6">
        <f ca="1">DAY(J58)</f>
        <v>0</v>
      </c>
      <c r="J58" s="7">
        <f ca="1">IF(G58="",0,IF(H58="",(NOW()-G58),(H58-G58)))</f>
        <v>0</v>
      </c>
      <c r="K58" s="8">
        <f ca="1">J58*86400</f>
        <v>0</v>
      </c>
      <c r="L58" s="1" t="s">
        <v>71</v>
      </c>
      <c r="M58" s="2" t="str">
        <f ca="1">IFERROR(IF(G58&gt;TODAY(),"0%",IF(TODAY()&gt;H58,"100%",(TODAY()-G58)/(G58-H58))),"-")</f>
        <v>100%</v>
      </c>
      <c r="N58" s="9">
        <f>VLOOKUP(E58,$T$2:$U$6,2,0)</f>
        <v>0</v>
      </c>
    </row>
    <row r="59" spans="1:14" ht="17.25" thickTop="1" thickBot="1" x14ac:dyDescent="0.3">
      <c r="A59" s="11" t="s">
        <v>36</v>
      </c>
      <c r="C59" s="1" t="s">
        <v>1</v>
      </c>
      <c r="D59" s="1" t="s">
        <v>11</v>
      </c>
      <c r="E59" s="3" t="s">
        <v>17</v>
      </c>
      <c r="F59" s="5">
        <v>43831</v>
      </c>
      <c r="G59" s="5">
        <v>43831</v>
      </c>
      <c r="H59" s="5">
        <v>43831</v>
      </c>
      <c r="I59" s="6">
        <f ca="1">DAY(J59)</f>
        <v>0</v>
      </c>
      <c r="J59" s="7">
        <f ca="1">IF(G59="",0,IF(H59="",(NOW()-G59),(H59-G59)))</f>
        <v>0</v>
      </c>
      <c r="K59" s="8">
        <f ca="1">J59*86400</f>
        <v>0</v>
      </c>
      <c r="L59" s="1" t="s">
        <v>71</v>
      </c>
      <c r="M59" s="2" t="str">
        <f ca="1">IFERROR(IF(G59&gt;TODAY(),"0%",IF(TODAY()&gt;H59,"100%",(TODAY()-G59)/(G59-H59))),"-")</f>
        <v>100%</v>
      </c>
      <c r="N59" s="9">
        <f>VLOOKUP(E59,$T$2:$U$6,2,0)</f>
        <v>0</v>
      </c>
    </row>
    <row r="60" spans="1:14" ht="17.25" thickTop="1" thickBot="1" x14ac:dyDescent="0.3">
      <c r="A60" s="11" t="s">
        <v>34</v>
      </c>
      <c r="C60" s="1" t="s">
        <v>5</v>
      </c>
      <c r="D60" s="1" t="s">
        <v>13</v>
      </c>
      <c r="E60" s="3" t="s">
        <v>16</v>
      </c>
      <c r="F60" s="5">
        <v>44470</v>
      </c>
      <c r="G60" s="5"/>
      <c r="H60" s="5">
        <v>44470</v>
      </c>
      <c r="I60" s="6">
        <f ca="1">DAY(J60)</f>
        <v>0</v>
      </c>
      <c r="J60" s="7">
        <f ca="1">IF(G60="",0,IF(H60="",(NOW()-G60),(H60-G60)))</f>
        <v>0</v>
      </c>
      <c r="K60" s="8">
        <f ca="1">J60*86400</f>
        <v>0</v>
      </c>
      <c r="L60" s="1" t="s">
        <v>83</v>
      </c>
      <c r="M60" s="2" t="str">
        <f ca="1">IFERROR(IF(G60&gt;TODAY(),"0%",IF(TODAY()&gt;H60,"100%",(TODAY()-G60)/(G60-H60))),"-")</f>
        <v>100%</v>
      </c>
      <c r="N60" s="9">
        <f>VLOOKUP(E60,$T$2:$U$6,2,0)</f>
        <v>25</v>
      </c>
    </row>
    <row r="61" spans="1:14" ht="17.25" thickTop="1" thickBot="1" x14ac:dyDescent="0.3">
      <c r="A61" s="11" t="s">
        <v>45</v>
      </c>
      <c r="C61" s="1" t="s">
        <v>4</v>
      </c>
      <c r="D61" s="1" t="s">
        <v>11</v>
      </c>
      <c r="E61" s="3" t="s">
        <v>16</v>
      </c>
      <c r="F61" s="5">
        <v>44461</v>
      </c>
      <c r="G61" s="5">
        <v>44474</v>
      </c>
      <c r="H61" s="5">
        <v>44477</v>
      </c>
      <c r="I61" s="6">
        <f ca="1">DAY(J61)</f>
        <v>3</v>
      </c>
      <c r="J61" s="7">
        <f ca="1">IF(G61="",0,IF(H61="",(NOW()-G61),(H61-G61)))</f>
        <v>3</v>
      </c>
      <c r="K61" s="8">
        <f ca="1">J61*86400</f>
        <v>259200</v>
      </c>
      <c r="L61" s="1" t="s">
        <v>71</v>
      </c>
      <c r="M61" s="2" t="str">
        <f ca="1">IFERROR(IF(G61&gt;TODAY(),"0%",IF(TODAY()&gt;H61,"100%",(TODAY()-G61)/(G61-H61))),"-")</f>
        <v>100%</v>
      </c>
      <c r="N61" s="9">
        <f>VLOOKUP(E61,$T$2:$U$6,2,0)</f>
        <v>25</v>
      </c>
    </row>
    <row r="62" spans="1:14" ht="17.25" thickTop="1" thickBot="1" x14ac:dyDescent="0.3">
      <c r="A62" s="11" t="s">
        <v>46</v>
      </c>
      <c r="C62" s="1" t="s">
        <v>4</v>
      </c>
      <c r="D62" s="1" t="s">
        <v>13</v>
      </c>
      <c r="E62" s="3" t="s">
        <v>14</v>
      </c>
      <c r="F62" s="5">
        <v>44461</v>
      </c>
      <c r="G62" s="5"/>
      <c r="I62" s="6">
        <f ca="1">DAY(J62)</f>
        <v>0</v>
      </c>
      <c r="J62" s="7">
        <f ca="1">IF(G62="",0,IF(H62="",(NOW()-G62),(H62-G62)))</f>
        <v>0</v>
      </c>
      <c r="K62" s="8">
        <f ca="1">J62*86400</f>
        <v>0</v>
      </c>
      <c r="L62" s="1" t="s">
        <v>80</v>
      </c>
      <c r="M62" s="2" t="str">
        <f ca="1">IFERROR(IF(G62&gt;TODAY(),"0%",IF(TODAY()&gt;H62,"100%",(TODAY()-G62)/(G62-H62))),"-")</f>
        <v>100%</v>
      </c>
      <c r="N62" s="9">
        <f>VLOOKUP(E62,$T$2:$U$6,2,0)</f>
        <v>50</v>
      </c>
    </row>
    <row r="63" spans="1:14" ht="17.25" thickTop="1" thickBot="1" x14ac:dyDescent="0.3">
      <c r="A63" s="11" t="s">
        <v>44</v>
      </c>
      <c r="C63" s="1" t="s">
        <v>4</v>
      </c>
      <c r="D63" s="1" t="s">
        <v>11</v>
      </c>
      <c r="E63" s="3" t="s">
        <v>17</v>
      </c>
      <c r="F63" s="5">
        <v>44348</v>
      </c>
      <c r="G63" s="5">
        <v>44348</v>
      </c>
      <c r="H63" s="5">
        <v>44348</v>
      </c>
      <c r="I63" s="6">
        <f ca="1">DAY(J63)</f>
        <v>0</v>
      </c>
      <c r="J63" s="7">
        <f ca="1">IF(G63="",0,IF(H63="",(NOW()-G63),(H63-G63)))</f>
        <v>0</v>
      </c>
      <c r="K63" s="8">
        <f ca="1">J63*86400</f>
        <v>0</v>
      </c>
      <c r="L63" s="1" t="s">
        <v>71</v>
      </c>
      <c r="M63" s="2" t="str">
        <f ca="1">IFERROR(IF(G63&gt;TODAY(),"0%",IF(TODAY()&gt;H63,"100%",(TODAY()-G63)/(G63-H63))),"-")</f>
        <v>100%</v>
      </c>
      <c r="N63" s="9">
        <f>VLOOKUP(E63,$T$2:$U$6,2,0)</f>
        <v>0</v>
      </c>
    </row>
    <row r="64" spans="1:14" ht="17.25" thickTop="1" thickBot="1" x14ac:dyDescent="0.3">
      <c r="A64" s="11" t="s">
        <v>75</v>
      </c>
      <c r="C64" s="1" t="s">
        <v>4</v>
      </c>
      <c r="D64" s="1" t="s">
        <v>11</v>
      </c>
      <c r="E64" s="3" t="s">
        <v>17</v>
      </c>
      <c r="F64" s="5">
        <v>44440</v>
      </c>
      <c r="G64" s="5">
        <v>44440</v>
      </c>
      <c r="H64" s="5">
        <v>44440</v>
      </c>
      <c r="I64" s="6">
        <f ca="1">DAY(J64)</f>
        <v>0</v>
      </c>
      <c r="J64" s="7">
        <f ca="1">IF(G64="",0,IF(H64="",(NOW()-G64),(H64-G64)))</f>
        <v>0</v>
      </c>
      <c r="K64" s="8">
        <f ca="1">J64*86400</f>
        <v>0</v>
      </c>
      <c r="L64" s="1" t="s">
        <v>80</v>
      </c>
      <c r="M64" s="2" t="str">
        <f ca="1">IFERROR(IF(G64&gt;TODAY(),"0%",IF(TODAY()&gt;H64,"100%",(TODAY()-G64)/(G64-H64))),"-")</f>
        <v>100%</v>
      </c>
      <c r="N64" s="9">
        <f>VLOOKUP(E64,$T$2:$U$6,2,0)</f>
        <v>0</v>
      </c>
    </row>
    <row r="65" spans="1:14" ht="17.25" thickTop="1" thickBot="1" x14ac:dyDescent="0.3">
      <c r="A65" s="11" t="s">
        <v>37</v>
      </c>
      <c r="C65" s="1" t="s">
        <v>1</v>
      </c>
      <c r="D65" s="1" t="s">
        <v>11</v>
      </c>
      <c r="E65" s="3" t="s">
        <v>16</v>
      </c>
      <c r="F65" s="5">
        <v>44471</v>
      </c>
      <c r="G65" s="5"/>
      <c r="H65" s="5">
        <v>44471</v>
      </c>
      <c r="I65" s="6">
        <f ca="1">DAY(J65)</f>
        <v>0</v>
      </c>
      <c r="J65" s="7">
        <f ca="1">IF(G65="",0,IF(H65="",(NOW()-G65),(H65-G65)))</f>
        <v>0</v>
      </c>
      <c r="K65" s="8">
        <f ca="1">J65*86400</f>
        <v>0</v>
      </c>
      <c r="L65" s="1" t="s">
        <v>83</v>
      </c>
      <c r="M65" s="2" t="str">
        <f ca="1">IFERROR(IF(G65&gt;TODAY(),"0%",IF(TODAY()&gt;H65,"100%",(TODAY()-G65)/(G65-H65))),"-")</f>
        <v>100%</v>
      </c>
      <c r="N65" s="9">
        <f>VLOOKUP(E65,$T$2:$U$6,2,0)</f>
        <v>25</v>
      </c>
    </row>
    <row r="66" spans="1:14" ht="17.25" thickTop="1" thickBot="1" x14ac:dyDescent="0.3">
      <c r="A66" s="11" t="s">
        <v>40</v>
      </c>
      <c r="C66" s="1" t="s">
        <v>1</v>
      </c>
      <c r="D66" s="1" t="s">
        <v>11</v>
      </c>
      <c r="E66" s="3" t="s">
        <v>16</v>
      </c>
      <c r="F66" s="5">
        <v>44471</v>
      </c>
      <c r="G66" s="5"/>
      <c r="H66" s="5">
        <v>44471</v>
      </c>
      <c r="I66" s="6">
        <f ca="1">DAY(J66)</f>
        <v>0</v>
      </c>
      <c r="J66" s="7">
        <f ca="1">IF(G66="",0,IF(H66="",(NOW()-G66),(H66-G66)))</f>
        <v>0</v>
      </c>
      <c r="K66" s="8">
        <f ca="1">J66*86400</f>
        <v>0</v>
      </c>
      <c r="L66" s="1" t="s">
        <v>80</v>
      </c>
      <c r="M66" s="2" t="str">
        <f ca="1">IFERROR(IF(G66&gt;TODAY(),"0%",IF(TODAY()&gt;H66,"100%",(TODAY()-G66)/(G66-H66))),"-")</f>
        <v>100%</v>
      </c>
      <c r="N66" s="9">
        <f>VLOOKUP(E66,$T$2:$U$6,2,0)</f>
        <v>25</v>
      </c>
    </row>
    <row r="67" spans="1:14" ht="17.25" thickTop="1" thickBot="1" x14ac:dyDescent="0.3">
      <c r="A67" s="11" t="s">
        <v>97</v>
      </c>
      <c r="C67" s="1" t="s">
        <v>85</v>
      </c>
      <c r="D67" s="1" t="s">
        <v>13</v>
      </c>
      <c r="E67" s="3" t="s">
        <v>15</v>
      </c>
      <c r="F67" s="5">
        <v>44721</v>
      </c>
      <c r="G67" s="5">
        <v>44722</v>
      </c>
      <c r="H67" s="5">
        <v>44729</v>
      </c>
      <c r="I67" s="6">
        <f ca="1">DAY(J67)</f>
        <v>7</v>
      </c>
      <c r="J67" s="7">
        <f ca="1">IF(G67="",0,IF(H67="",(NOW()-G67),(H67-G67)))</f>
        <v>7</v>
      </c>
      <c r="K67" s="8">
        <f ca="1">J67*86400</f>
        <v>604800</v>
      </c>
      <c r="L67" s="1" t="s">
        <v>71</v>
      </c>
      <c r="M67" s="2">
        <f ca="1">IFERROR(IF(G67&gt;TODAY(),"0%",IF(TODAY()&gt;H67,"100%",(TODAY()-G67)/(H67-G67))),"-")</f>
        <v>1</v>
      </c>
      <c r="N67" s="9">
        <f>VLOOKUP(E67,$T$2:$U$6,2,0)</f>
        <v>75</v>
      </c>
    </row>
    <row r="68" spans="1:14" ht="17.25" thickTop="1" thickBot="1" x14ac:dyDescent="0.3">
      <c r="M68" s="2"/>
      <c r="N68" s="9"/>
    </row>
    <row r="69" spans="1:14" ht="17.25" thickTop="1" thickBot="1" x14ac:dyDescent="0.3">
      <c r="M69" s="2"/>
      <c r="N69" s="9"/>
    </row>
    <row r="70" spans="1:14" ht="17.25" thickTop="1" thickBot="1" x14ac:dyDescent="0.3">
      <c r="M70" s="2"/>
      <c r="N70" s="9"/>
    </row>
    <row r="71" spans="1:14" ht="17.25" thickTop="1" thickBot="1" x14ac:dyDescent="0.3">
      <c r="M71" s="2"/>
      <c r="N71" s="9"/>
    </row>
    <row r="72" spans="1:14" ht="17.25" thickTop="1" thickBot="1" x14ac:dyDescent="0.3">
      <c r="M72" s="2"/>
      <c r="N72" s="9"/>
    </row>
    <row r="73" spans="1:14" ht="17.25" thickTop="1" thickBot="1" x14ac:dyDescent="0.3">
      <c r="M73" s="2"/>
      <c r="N73" s="9"/>
    </row>
    <row r="74" spans="1:14" ht="17.25" thickTop="1" thickBot="1" x14ac:dyDescent="0.3">
      <c r="M74" s="2"/>
      <c r="N74" s="9"/>
    </row>
    <row r="75" spans="1:14" ht="17.25" thickTop="1" thickBot="1" x14ac:dyDescent="0.3">
      <c r="M75" s="2"/>
      <c r="N75" s="9"/>
    </row>
    <row r="76" spans="1:14" ht="17.25" thickTop="1" thickBot="1" x14ac:dyDescent="0.3">
      <c r="M76" s="2"/>
      <c r="N76" s="9"/>
    </row>
    <row r="77" spans="1:14" ht="17.25" thickTop="1" thickBot="1" x14ac:dyDescent="0.3">
      <c r="M77" s="2"/>
      <c r="N77" s="9"/>
    </row>
    <row r="78" spans="1:14" ht="17.25" thickTop="1" thickBot="1" x14ac:dyDescent="0.3">
      <c r="M78" s="2"/>
      <c r="N78" s="9"/>
    </row>
    <row r="79" spans="1:14" ht="17.25" thickTop="1" thickBot="1" x14ac:dyDescent="0.3">
      <c r="M79" s="2"/>
      <c r="N79" s="9"/>
    </row>
    <row r="80" spans="1:14" ht="17.25" thickTop="1" thickBot="1" x14ac:dyDescent="0.3">
      <c r="M80" s="2"/>
      <c r="N80" s="9"/>
    </row>
    <row r="81" spans="13:14" ht="17.25" thickTop="1" thickBot="1" x14ac:dyDescent="0.3">
      <c r="M81" s="2"/>
      <c r="N81" s="9"/>
    </row>
    <row r="82" spans="13:14" ht="17.25" thickTop="1" thickBot="1" x14ac:dyDescent="0.3">
      <c r="M82" s="2"/>
      <c r="N82" s="9"/>
    </row>
    <row r="83" spans="13:14" ht="17.25" thickTop="1" thickBot="1" x14ac:dyDescent="0.3">
      <c r="M83" s="2"/>
      <c r="N83" s="9"/>
    </row>
    <row r="84" spans="13:14" ht="17.25" thickTop="1" thickBot="1" x14ac:dyDescent="0.3">
      <c r="M84" s="2"/>
      <c r="N84" s="9"/>
    </row>
    <row r="85" spans="13:14" ht="17.25" thickTop="1" thickBot="1" x14ac:dyDescent="0.3">
      <c r="M85" s="2"/>
      <c r="N85" s="9"/>
    </row>
    <row r="86" spans="13:14" ht="17.25" thickTop="1" thickBot="1" x14ac:dyDescent="0.3">
      <c r="M86" s="2"/>
      <c r="N86" s="9"/>
    </row>
    <row r="87" spans="13:14" ht="17.25" thickTop="1" thickBot="1" x14ac:dyDescent="0.3">
      <c r="M87" s="2"/>
      <c r="N87" s="9"/>
    </row>
    <row r="88" spans="13:14" ht="17.25" thickTop="1" thickBot="1" x14ac:dyDescent="0.3">
      <c r="M88" s="2"/>
      <c r="N88" s="9"/>
    </row>
    <row r="89" spans="13:14" ht="17.25" thickTop="1" thickBot="1" x14ac:dyDescent="0.3">
      <c r="M89" s="2"/>
      <c r="N89" s="9"/>
    </row>
    <row r="90" spans="13:14" ht="17.25" thickTop="1" thickBot="1" x14ac:dyDescent="0.3">
      <c r="M90" s="2"/>
      <c r="N90" s="9"/>
    </row>
    <row r="91" spans="13:14" ht="17.25" thickTop="1" thickBot="1" x14ac:dyDescent="0.3">
      <c r="M91" s="2"/>
      <c r="N91" s="9"/>
    </row>
    <row r="92" spans="13:14" ht="17.25" thickTop="1" thickBot="1" x14ac:dyDescent="0.3">
      <c r="M92" s="2"/>
      <c r="N92" s="9"/>
    </row>
    <row r="93" spans="13:14" ht="17.25" thickTop="1" thickBot="1" x14ac:dyDescent="0.3">
      <c r="M93" s="2"/>
      <c r="N93" s="9"/>
    </row>
    <row r="94" spans="13:14" ht="17.25" thickTop="1" thickBot="1" x14ac:dyDescent="0.3">
      <c r="M94" s="2"/>
      <c r="N94" s="9"/>
    </row>
    <row r="95" spans="13:14" ht="17.25" thickTop="1" thickBot="1" x14ac:dyDescent="0.3">
      <c r="M95" s="2"/>
      <c r="N95" s="9"/>
    </row>
    <row r="96" spans="13:14" ht="17.25" thickTop="1" thickBot="1" x14ac:dyDescent="0.3">
      <c r="M96" s="2"/>
      <c r="N96" s="9"/>
    </row>
    <row r="97" spans="13:14" ht="17.25" thickTop="1" thickBot="1" x14ac:dyDescent="0.3">
      <c r="M97" s="2"/>
      <c r="N97" s="9"/>
    </row>
    <row r="98" spans="13:14" ht="17.25" thickTop="1" thickBot="1" x14ac:dyDescent="0.3">
      <c r="M98" s="2"/>
      <c r="N98" s="9"/>
    </row>
  </sheetData>
  <autoFilter ref="A1:N67" xr:uid="{573BDB89-8E21-446A-AF52-43111CD50E97}"/>
  <sortState xmlns:xlrd2="http://schemas.microsoft.com/office/spreadsheetml/2017/richdata2" ref="A2:E45">
    <sortCondition ref="D1"/>
  </sortState>
  <conditionalFormatting sqref="M2:M98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{07A90958-BB14-4326-B520-072D11DBB40D}</x14:id>
        </ext>
      </extLst>
    </cfRule>
  </conditionalFormatting>
  <conditionalFormatting sqref="M2:M98">
    <cfRule type="cellIs" dxfId="0" priority="1" operator="equal">
      <formula>1</formula>
    </cfRule>
  </conditionalFormatting>
  <dataValidations count="3">
    <dataValidation type="list" allowBlank="1" showInputMessage="1" showErrorMessage="1" sqref="L3:L67" xr:uid="{00000000-0002-0000-0000-000000000000}">
      <formula1>"Eduardo,Patryck,Yago,Ambos,Não Definido"</formula1>
    </dataValidation>
    <dataValidation type="list" allowBlank="1" showInputMessage="1" showErrorMessage="1" sqref="L2" xr:uid="{00000000-0002-0000-0000-000001000000}">
      <formula1>"Eduardo,Patryck,Yago,Ambos"</formula1>
    </dataValidation>
    <dataValidation type="list" allowBlank="1" showInputMessage="1" showErrorMessage="1" sqref="L68:L1048576" xr:uid="{1A7DECCD-698B-404B-A6E4-E123A118E82F}">
      <formula1>"Gouveia,Patrick,Ambos,Não Definido"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A90958-BB14-4326-B520-072D11DBB4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M2:M98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Demandas 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yago henrique da silva</dc:creator>
  <cp:lastModifiedBy>Priscilla Alves da Costa</cp:lastModifiedBy>
  <dcterms:created xsi:type="dcterms:W3CDTF">2021-06-18T15:24:02Z</dcterms:created>
  <dcterms:modified xsi:type="dcterms:W3CDTF">2022-06-17T12:19:46Z</dcterms:modified>
</cp:coreProperties>
</file>